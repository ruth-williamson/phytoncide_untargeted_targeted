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application/x-msmetafile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wn54\Documents\github_projects\phytoncide_untargeted_targeted\forest_untargeted_results\"/>
    </mc:Choice>
  </mc:AlternateContent>
  <xr:revisionPtr revIDLastSave="0" documentId="13_ncr:1_{34418D52-816B-42D7-8C0A-3048CF2F3432}" xr6:coauthVersionLast="47" xr6:coauthVersionMax="47" xr10:uidLastSave="{00000000-0000-0000-0000-000000000000}"/>
  <bookViews>
    <workbookView xWindow="28680" yWindow="-120" windowWidth="29040" windowHeight="15720" tabRatio="845" firstSheet="1" activeTab="3" autoFilterDateGrouping="0" xr2:uid="{00000000-000D-0000-FFFF-FFFF00000000}"/>
  </bookViews>
  <sheets>
    <sheet name="Overview" sheetId="1" state="hidden" r:id="rId1"/>
    <sheet name="Integration" sheetId="2" r:id="rId2"/>
    <sheet name="copy" sheetId="9" r:id="rId3"/>
    <sheet name="Sheet2" sheetId="10" r:id="rId4"/>
    <sheet name="Calibration" sheetId="3" state="hidden" r:id="rId5"/>
    <sheet name="Peak Analysis" sheetId="4" state="hidden" r:id="rId6"/>
    <sheet name="SST" sheetId="5" state="hidden" r:id="rId7"/>
    <sheet name="Summary" sheetId="6" state="hidden" r:id="rId8"/>
    <sheet name="Injection Audit Trail" sheetId="7" state="hidden" r:id="rId9"/>
    <sheet name="Chromatogram" sheetId="8" state="hidden" r:id="rId10"/>
  </sheets>
  <definedNames>
    <definedName name="_xlnm.Print_Area" localSheetId="4">Calibration!$A:$H</definedName>
    <definedName name="_xlnm.Print_Area" localSheetId="7">Summary!$A:$H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" i="9" l="1"/>
  <c r="F79" i="9"/>
  <c r="E79" i="9"/>
  <c r="D79" i="9"/>
  <c r="G79" i="2"/>
  <c r="F79" i="2"/>
  <c r="E79" i="2"/>
  <c r="D79" i="2"/>
  <c r="C51" i="5"/>
</calcChain>
</file>

<file path=xl/sharedStrings.xml><?xml version="1.0" encoding="utf-8"?>
<sst xmlns="http://schemas.openxmlformats.org/spreadsheetml/2006/main" count="1015" uniqueCount="284">
  <si>
    <t>Sequence Overview</t>
  </si>
  <si>
    <t>Sequence Details</t>
  </si>
  <si>
    <t>Name:</t>
  </si>
  <si>
    <t>UVDefault</t>
  </si>
  <si>
    <t>Created On:</t>
  </si>
  <si>
    <t>Directory:</t>
  </si>
  <si>
    <t>Default Templates (Reports and View Settings)\Sequence Templates</t>
  </si>
  <si>
    <t>Created By:</t>
  </si>
  <si>
    <t>stefan.polnick</t>
  </si>
  <si>
    <t>Data Vault:</t>
  </si>
  <si>
    <t>Workspace</t>
  </si>
  <si>
    <t>Updated On:</t>
  </si>
  <si>
    <t>No. of Injections:</t>
  </si>
  <si>
    <t>Updated By:</t>
  </si>
  <si>
    <t>PSauter</t>
  </si>
  <si>
    <t>Injection Details</t>
  </si>
  <si>
    <t>No</t>
  </si>
  <si>
    <t>Injection Name</t>
  </si>
  <si>
    <t>Position</t>
  </si>
  <si>
    <t>Type</t>
  </si>
  <si>
    <t xml:space="preserve">Level </t>
  </si>
  <si>
    <t>Inject Time</t>
  </si>
  <si>
    <t>Status</t>
  </si>
  <si>
    <t/>
  </si>
  <si>
    <t>Alkylphenones 1</t>
  </si>
  <si>
    <t>RA1</t>
  </si>
  <si>
    <t>Calibration Standard</t>
  </si>
  <si>
    <t>01</t>
  </si>
  <si>
    <t>Finished</t>
  </si>
  <si>
    <t>Alkylphenones 2</t>
  </si>
  <si>
    <t>Alkylphenones 3</t>
  </si>
  <si>
    <t>Alkylphenones 4</t>
  </si>
  <si>
    <t>Alkylphenones 5</t>
  </si>
  <si>
    <t>Alkylphenones 6</t>
  </si>
  <si>
    <t>Alkylphenones 7</t>
  </si>
  <si>
    <t>RA2</t>
  </si>
  <si>
    <t>Unknown</t>
  </si>
  <si>
    <t>Chromatogram and Results</t>
  </si>
  <si>
    <t>Injection Name:</t>
  </si>
  <si>
    <t>forest_control_4hr</t>
  </si>
  <si>
    <t>Run Time (min):</t>
  </si>
  <si>
    <t>Vial Number:</t>
  </si>
  <si>
    <t>Injection Volume:</t>
  </si>
  <si>
    <t>Injection Type:</t>
  </si>
  <si>
    <t>Channel:</t>
  </si>
  <si>
    <t>TIC</t>
  </si>
  <si>
    <t>Calibration Level:</t>
  </si>
  <si>
    <t>Wavelength:</t>
  </si>
  <si>
    <t>n.a.</t>
  </si>
  <si>
    <t>Instrument Method:</t>
  </si>
  <si>
    <t>Bandwidth:</t>
  </si>
  <si>
    <t>Processing Method:</t>
  </si>
  <si>
    <t>control_forest_4hr_UT</t>
  </si>
  <si>
    <t>Dilution Factor:</t>
  </si>
  <si>
    <t>Injection Date/Time:</t>
  </si>
  <si>
    <t>Sample Weight:</t>
  </si>
  <si>
    <t>Chromatogram</t>
  </si>
  <si>
    <t>Integration Results</t>
  </si>
  <si>
    <t>No.</t>
  </si>
  <si>
    <t>Peakname</t>
  </si>
  <si>
    <t>RetentionTime</t>
  </si>
  <si>
    <t>Area</t>
  </si>
  <si>
    <t>Height</t>
  </si>
  <si>
    <t>Relative Area</t>
  </si>
  <si>
    <t xml:space="preserve">Rel.Height </t>
  </si>
  <si>
    <t xml:space="preserve">CAS </t>
  </si>
  <si>
    <t xml:space="preserve">Chem.Formula </t>
  </si>
  <si>
    <t>min</t>
  </si>
  <si>
    <t>counts*min</t>
  </si>
  <si>
    <t>counts</t>
  </si>
  <si>
    <t>%</t>
  </si>
  <si>
    <t>Silanediol, dimethyl-</t>
  </si>
  <si>
    <t>1066-42-8</t>
  </si>
  <si>
    <t>C2H8O2Si</t>
  </si>
  <si>
    <t>Cyclotrisiloxane, hexamethyl-</t>
  </si>
  <si>
    <t>541-05-9</t>
  </si>
  <si>
    <t>C6H18O3Si3</t>
  </si>
  <si>
    <t>Dimethylsilyloxy-dimethyl-trimethylsilyloxy-silane</t>
  </si>
  <si>
    <t>C7H22O2Si3</t>
  </si>
  <si>
    <t>(Z)-N-hydroxybenzenecarboximidic acid methyl ester</t>
  </si>
  <si>
    <t>C8H9NO2</t>
  </si>
  <si>
    <t>Oxime-, methoxy-phenyl-_</t>
  </si>
  <si>
    <t>4-[(2-Phenylethyl)carbamoyl]phenyl acetate, TMS</t>
  </si>
  <si>
    <t>C20H25NO3Si</t>
  </si>
  <si>
    <t>Benzaldehyde</t>
  </si>
  <si>
    <t>100-52-7</t>
  </si>
  <si>
    <t>C7H6O</t>
  </si>
  <si>
    <t>Cyclotetrasiloxane, octamethyl-</t>
  </si>
  <si>
    <t>556-67-2</t>
  </si>
  <si>
    <t>C8H24O4Si4</t>
  </si>
  <si>
    <t>3-Methylindolo[1,2-f]phenanthridine</t>
  </si>
  <si>
    <t>C21H15N</t>
  </si>
  <si>
    <t>(2R)-2-ethyl-1-hexanol</t>
  </si>
  <si>
    <t>C8H18O</t>
  </si>
  <si>
    <t>3-Methyl-1-cyclohepta-2,4,6-trienone</t>
  </si>
  <si>
    <t>C8H8O</t>
  </si>
  <si>
    <t>Acetophenone</t>
  </si>
  <si>
    <t>98-86-2</t>
  </si>
  <si>
    <t>Butanoic acid, 2-(benzoylamino)-2,3-dichloro-3-methyl-, methyl e</t>
  </si>
  <si>
    <t>98517-03-4</t>
  </si>
  <si>
    <t>C13H15Cl2NO3</t>
  </si>
  <si>
    <t>1H-Imidazole-2,5-dione, 4-[[4-(1,3-benzodioxol-5-ylmethyl)-1-met</t>
  </si>
  <si>
    <t>122759-55-1</t>
  </si>
  <si>
    <t>C16H15N5O4</t>
  </si>
  <si>
    <t>4-(2-(Tosyloxy)ethyl)-3,4-dihydro-2H-benzo[b][1,4]oxazin-6-yl be</t>
  </si>
  <si>
    <t>C24H23NO6S</t>
  </si>
  <si>
    <t>Cyclopentasiloxane, decamethyl-</t>
  </si>
  <si>
    <t>541-02-6</t>
  </si>
  <si>
    <t>C10H30O5Si5</t>
  </si>
  <si>
    <t>Benzoic acid</t>
  </si>
  <si>
    <t>65-85-0</t>
  </si>
  <si>
    <t>C7H6O2</t>
  </si>
  <si>
    <t>2-Hydroxy-1-phenyl-3-(phenylsulfonyl)propan-1-one</t>
  </si>
  <si>
    <t>C15H14O4S</t>
  </si>
  <si>
    <t>Cobalt, [3,3''-(ethylenedinitrilo)dibutyrophenonato(2-)]-</t>
  </si>
  <si>
    <t>36466-12-3</t>
  </si>
  <si>
    <t>C22H22CoN2O2</t>
  </si>
  <si>
    <t>t-Butyl (1' R)-5-(1'-hydroxyoctyl)-3-methyl-4-oxoimidazolidine-1</t>
  </si>
  <si>
    <t>C21H40N2O4</t>
  </si>
  <si>
    <t>Dibromo[tri(trimethylsilyl)methyl]silane</t>
  </si>
  <si>
    <t>C10H30Br2Si4</t>
  </si>
  <si>
    <t>6-Amino-2,4-dioxo-1,2,3,4-tetrahydro-5-pyrimidinamine, 4TMS</t>
  </si>
  <si>
    <t>C16H38N4O2Si4</t>
  </si>
  <si>
    <t>4,4-Diphenyl-1-(3-pyridinyl)but-1,3-diene-2-carboxylic acid</t>
  </si>
  <si>
    <t>C22H17NO2</t>
  </si>
  <si>
    <t>Cyclohexasiloxane, dodecamethyl-</t>
  </si>
  <si>
    <t>540-97-6</t>
  </si>
  <si>
    <t>C12H36O6Si6</t>
  </si>
  <si>
    <t>Monoallyl phthalate</t>
  </si>
  <si>
    <t>3882-14-2</t>
  </si>
  <si>
    <t>C11H10O4</t>
  </si>
  <si>
    <t>(E,E)-1,1'-(5-Methyl-1-(4-tolyl)-1H-pyrazole-3,4-diyl)bis(3-phen</t>
  </si>
  <si>
    <t>C29H24N2O2</t>
  </si>
  <si>
    <t>3-cyano-1,1-difluoro-2-{[4-(morpholin-4-yl)phenyl]imino}-1H,2H-2</t>
  </si>
  <si>
    <t>C21H18BF2N5O</t>
  </si>
  <si>
    <t>2-Ethoxybenzoic acid ethyl ester</t>
  </si>
  <si>
    <t>75333-22-1</t>
  </si>
  <si>
    <t>C11H14O3</t>
  </si>
  <si>
    <t>(10E)-3-((E)-4,8-dimethylnona-3,7-dien-1-yl)-N,N-diethyl-11,15-d</t>
  </si>
  <si>
    <t>C34H59N</t>
  </si>
  <si>
    <t>3-Phenyl-2,5-furandione</t>
  </si>
  <si>
    <t>36122-35-7</t>
  </si>
  <si>
    <t>C10H6O3</t>
  </si>
  <si>
    <t>1,1,1,3,5,7,9,9,9-Nonamethylpentasiloxane</t>
  </si>
  <si>
    <t>84409-41-6</t>
  </si>
  <si>
    <t>C9H30O4Si5</t>
  </si>
  <si>
    <t>Total:</t>
  </si>
  <si>
    <t>Calibration</t>
  </si>
  <si>
    <t>Calibration Details</t>
  </si>
  <si>
    <t>Acetanilide</t>
  </si>
  <si>
    <t>Calibration Type</t>
  </si>
  <si>
    <t>Lin, WithOffset</t>
  </si>
  <si>
    <t>Offset (C0)</t>
  </si>
  <si>
    <t>Evaluation Type</t>
  </si>
  <si>
    <t>Slope (C1)</t>
  </si>
  <si>
    <t>Number of Calibration Points</t>
  </si>
  <si>
    <t>Curve (C2)</t>
  </si>
  <si>
    <t>Number of disabled Calibration Points</t>
  </si>
  <si>
    <t>R-Square</t>
  </si>
  <si>
    <t>Calibration Plot</t>
  </si>
  <si>
    <t>Calibration Results</t>
  </si>
  <si>
    <t xml:space="preserve">No. </t>
  </si>
  <si>
    <t xml:space="preserve">X Value </t>
  </si>
  <si>
    <t xml:space="preserve">Y Value </t>
  </si>
  <si>
    <t xml:space="preserve">Residual </t>
  </si>
  <si>
    <t xml:space="preserve">Area </t>
  </si>
  <si>
    <t xml:space="preserve">Height </t>
  </si>
  <si>
    <t>ng</t>
  </si>
  <si>
    <t>mAU*min</t>
  </si>
  <si>
    <t>mAU</t>
  </si>
  <si>
    <t>UV_VIS_1</t>
  </si>
  <si>
    <t>Peak Analysis</t>
  </si>
  <si>
    <t>CM_OQ</t>
  </si>
  <si>
    <t>Peak Results</t>
  </si>
  <si>
    <t>Ret.Time</t>
  </si>
  <si>
    <t>Width (50%)</t>
  </si>
  <si>
    <t xml:space="preserve">Type </t>
  </si>
  <si>
    <t>Resolution (EP)</t>
  </si>
  <si>
    <t>Asymmetry (EP)</t>
  </si>
  <si>
    <t>Plates (EP)</t>
  </si>
  <si>
    <t xml:space="preserve"> M </t>
  </si>
  <si>
    <t xml:space="preserve"> MB</t>
  </si>
  <si>
    <t>Propiophenone</t>
  </si>
  <si>
    <t>Chromatogram and SST Results</t>
  </si>
  <si>
    <t>SST Results</t>
  </si>
  <si>
    <t>Name</t>
  </si>
  <si>
    <t>Inj.Condition</t>
  </si>
  <si>
    <t xml:space="preserve">Peak </t>
  </si>
  <si>
    <t xml:space="preserve">Test Result </t>
  </si>
  <si>
    <t xml:space="preserve">Name </t>
  </si>
  <si>
    <t>System Suitability Test Case 1</t>
  </si>
  <si>
    <t>All Injections</t>
  </si>
  <si>
    <t>Number: 2</t>
  </si>
  <si>
    <t>Not Executed</t>
  </si>
  <si>
    <t>System Suitability Test Case 2</t>
  </si>
  <si>
    <t>injection.name starts with "Alkylphenones"</t>
  </si>
  <si>
    <t>System Suitability Test Case 3</t>
  </si>
  <si>
    <t>(injection.number&gt;=1 AND injection.number&lt;=7)</t>
  </si>
  <si>
    <t>Highest: peak.area</t>
  </si>
  <si>
    <t>System Suitability Test Case 4</t>
  </si>
  <si>
    <t>All Identified Peaks</t>
  </si>
  <si>
    <t>System Suitability Test Case 5</t>
  </si>
  <si>
    <t>injection.position = RC9</t>
  </si>
  <si>
    <t>System Suitability Test Case 6</t>
  </si>
  <si>
    <t>Injection Type: Unknown</t>
  </si>
  <si>
    <t xml:space="preserve">Number of executed test cases: </t>
  </si>
  <si>
    <t xml:space="preserve">Total Result: </t>
  </si>
  <si>
    <t>Summary</t>
  </si>
  <si>
    <t>By Component</t>
  </si>
  <si>
    <t xml:space="preserve">Amount </t>
  </si>
  <si>
    <t xml:space="preserve">Rel.Area </t>
  </si>
  <si>
    <t xml:space="preserve">Peak Type </t>
  </si>
  <si>
    <t xml:space="preserve">BM </t>
  </si>
  <si>
    <t>Injection Audit Trail</t>
  </si>
  <si>
    <t>Day Time</t>
  </si>
  <si>
    <t>Ret. Time</t>
  </si>
  <si>
    <t>Command/Message</t>
  </si>
  <si>
    <t>(UTC+02:00)</t>
  </si>
  <si>
    <t>13:14:22</t>
  </si>
  <si>
    <t>Audit trail of injection "chrom://deger-6fwtxt2/Workspace/OQ/Station Qual 2022-07-12.seq/515.smp". Executed 7/12/2022 on instrument CM_OQ (instrument controller DEGER-6FWTXT2).</t>
  </si>
  <si>
    <t xml:space="preserve">Start of injection 1 "Alkylphenones 1", using instrument method "CM_OQ". </t>
  </si>
  <si>
    <t>0.000</t>
  </si>
  <si>
    <t xml:space="preserve">Entered stage "Instrument Setup" </t>
  </si>
  <si>
    <t xml:space="preserve">UV.3DFIELD.MinWavelength = 190.0 nm </t>
  </si>
  <si>
    <t xml:space="preserve">UV.3DFIELD.MaxWavelength = 350.0 nm </t>
  </si>
  <si>
    <t xml:space="preserve">UV.3DFIELD.BunchWidth = 1 nm </t>
  </si>
  <si>
    <t xml:space="preserve">UV.ResponseTime = 0.030 s </t>
  </si>
  <si>
    <t xml:space="preserve">UV.Data_Collection_Rate = 100 Hz </t>
  </si>
  <si>
    <t xml:space="preserve">ColumnOven.Temperature.Nominal = 20.0 °C </t>
  </si>
  <si>
    <t xml:space="preserve">PumpModule.Pump.%A.Equate = "Water" </t>
  </si>
  <si>
    <t xml:space="preserve">PumpModule.Pump.%B.Equate = "Acetonitrile" </t>
  </si>
  <si>
    <t xml:space="preserve">PumpModule.Pump.%C.Equate = "%C" </t>
  </si>
  <si>
    <t xml:space="preserve">PumpModule.Pump.%D.Equate = "%D" </t>
  </si>
  <si>
    <t xml:space="preserve">PumpModule.Pump.Pressure.LowerLimit = 0 bar </t>
  </si>
  <si>
    <t xml:space="preserve">PumpModule.Pump.Pressure.UpperLimit = 800 bar </t>
  </si>
  <si>
    <t xml:space="preserve">UV.UV_VIS_1.Wavelength = 244.0 nm </t>
  </si>
  <si>
    <t xml:space="preserve">UV.UV_VIS_1.Bandwidth = 4 nm </t>
  </si>
  <si>
    <t xml:space="preserve">UV.UV_VIS_1.RefWavelength = Off </t>
  </si>
  <si>
    <t xml:space="preserve">UV.UV_VIS_1.RefBandwidth = 1 nm </t>
  </si>
  <si>
    <t xml:space="preserve">UV.3DFIELD.RefWavelength = Off </t>
  </si>
  <si>
    <t xml:space="preserve">UV.3DFIELD.RefBandwidth = 1 nm </t>
  </si>
  <si>
    <t xml:space="preserve">UV.UV_VIS_2.Wavelength = 256.0 nm </t>
  </si>
  <si>
    <t xml:space="preserve">UV.UV_VIS_2.Bandwidth = 4 nm </t>
  </si>
  <si>
    <t xml:space="preserve">UV.UV_VIS_2.RefWavelength = Off </t>
  </si>
  <si>
    <t xml:space="preserve">UV.UV_VIS_2.RefBandwidth = 1 nm </t>
  </si>
  <si>
    <t xml:space="preserve">Entered stage "Inject Preparation" </t>
  </si>
  <si>
    <t xml:space="preserve">UV.Autozero </t>
  </si>
  <si>
    <t xml:space="preserve">Wait ColumnOven.Ready And Sampler.Ready And UV.Ready </t>
  </si>
  <si>
    <t>13:14:27</t>
  </si>
  <si>
    <t xml:space="preserve">Wait finished </t>
  </si>
  <si>
    <t xml:space="preserve">Entered stage "Inject" </t>
  </si>
  <si>
    <t xml:space="preserve">Sampler.Inject </t>
  </si>
  <si>
    <t xml:space="preserve">Injecting from vial position RA1. </t>
  </si>
  <si>
    <t xml:space="preserve">Injection Volume is 2.000 µl. </t>
  </si>
  <si>
    <t xml:space="preserve">Waiting for inject response on UM3WPSInjectState1. </t>
  </si>
  <si>
    <t>13:14:29</t>
  </si>
  <si>
    <t xml:space="preserve">Got inject response. </t>
  </si>
  <si>
    <t xml:space="preserve">Entered stage "Start Run" </t>
  </si>
  <si>
    <t xml:space="preserve">UV.UV_VIS_1.AcqOn </t>
  </si>
  <si>
    <t xml:space="preserve">UV.UV_VIS_2.AcqOn </t>
  </si>
  <si>
    <t xml:space="preserve">UV.3DFIELD.AcqOn </t>
  </si>
  <si>
    <t xml:space="preserve">Entered stage "Run" </t>
  </si>
  <si>
    <t xml:space="preserve">PumpModule.Pump.Flow.Nominal = 1.400 ml/min </t>
  </si>
  <si>
    <t xml:space="preserve">PumpModule.Pump.%B.Value Gradient Start = 35.0 %, End = 90.0 %, Duration = 0.300 min </t>
  </si>
  <si>
    <t xml:space="preserve">PumpModule.Pump.%C.Value = 0.0 % </t>
  </si>
  <si>
    <t xml:space="preserve">PumpModule.Pump.%D.Value = 0.0 % </t>
  </si>
  <si>
    <t xml:space="preserve">PumpModule.Pump.Curve = 5 </t>
  </si>
  <si>
    <t xml:space="preserve">Reading from simulation data file C:\Program Files (x86)\Thermo\Chromeleon\bin\DDK\V1\Drivers\Dionex\DAD3000\cmoq_1.dad3000. </t>
  </si>
  <si>
    <t>13:14:47</t>
  </si>
  <si>
    <t>0.300</t>
  </si>
  <si>
    <t xml:space="preserve">PumpModule.Pump.%B.Value = 90.0 % </t>
  </si>
  <si>
    <t>13:14:56</t>
  </si>
  <si>
    <t>0.450</t>
  </si>
  <si>
    <t xml:space="preserve">UV.3DFIELD.AcqOff </t>
  </si>
  <si>
    <t xml:space="preserve">UV.UV_VIS_1.AcqOff </t>
  </si>
  <si>
    <t xml:space="preserve">UV.UV_VIS_2.AcqOff </t>
  </si>
  <si>
    <t xml:space="preserve">Entered stage "Stop Run" </t>
  </si>
  <si>
    <t xml:space="preserve">Terminating instrument method chrom://deger-6fwtxt2/Workspace/OQ/Station Qual 2022-07-12.seq/CM_OQ.instmeth. Waiting for instrument to finish processing of current injection ... </t>
  </si>
  <si>
    <t>0.451</t>
  </si>
  <si>
    <t xml:space="preserve">Closing simulation data file. </t>
  </si>
  <si>
    <t xml:space="preserve">OK to terminate instrument method chrom://deger-6fwtxt2/Workspace/OQ/Station Qual 2022-07-12.seq/CM_OQ.instmeth. </t>
  </si>
  <si>
    <t xml:space="preserve">IRC Message for Test Case "System Suitability Test Case 5": Injection specification criteria has not been met </t>
  </si>
  <si>
    <t xml:space="preserve">IRC Message for Test Case "System Suitability Test Case 6": Injection specification criteria has not been met </t>
  </si>
  <si>
    <t xml:space="preserve">End of injection "Alkylphenones 1".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</si>
</sst>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/mmm/yy\ hh:mm:ss"/>
    <numFmt numFmtId="165" formatCode=";;"/>
    <numFmt numFmtId="166" formatCode="dd/mmm/yyyy\ hh:mm"/>
    <numFmt numFmtId="167" formatCode="0.0000"/>
    <numFmt numFmtId="168" formatCode="dd/mmm/yy\ hh:mm"/>
    <numFmt numFmtId="169" formatCode="dd/mm/yy\ hh:mm"/>
    <numFmt numFmtId="170" formatCode="0.000&quot; &quot;"/>
    <numFmt numFmtId="171" formatCode="0.0000&quot; &quot;"/>
    <numFmt numFmtId="172" formatCode="0.00&quot; &quot;"/>
    <numFmt numFmtId="173" formatCode="0.00&quot;      &quot;"/>
    <numFmt numFmtId="174" formatCode="0.000"/>
    <numFmt numFmtId="175" formatCode="0.0000&quot;  &quot;"/>
  </numFmts>
  <fonts count="13" x14ac:knownFonts="1">
    <font>
      <sz val="10"/>
      <name val="Arial"/>
    </font>
    <font>
      <b/>
      <sz val="16"/>
      <name val="Calibri"/>
    </font>
    <font>
      <b/>
      <sz val="12"/>
      <name val="Calibri"/>
    </font>
    <font>
      <i/>
      <sz val="10"/>
      <name val="Arial"/>
    </font>
    <font>
      <b/>
      <sz val="10"/>
      <name val="Arial"/>
    </font>
    <font>
      <sz val="10"/>
      <color rgb="FF000000"/>
      <name val="Arial"/>
    </font>
    <font>
      <b/>
      <sz val="16"/>
      <name val="Calibri"/>
    </font>
    <font>
      <b/>
      <sz val="10"/>
      <name val="Arial"/>
    </font>
    <font>
      <sz val="10"/>
      <name val="Arial"/>
    </font>
    <font>
      <b/>
      <sz val="12"/>
      <name val="Calibri"/>
    </font>
    <font>
      <i/>
      <sz val="10"/>
      <name val="Arial"/>
    </font>
    <font>
      <b/>
      <sz val="9"/>
      <name val="Arial"/>
    </font>
    <font>
      <b/>
      <sz val="10"/>
      <color rgb="FF0070C0"/>
      <name val="Arial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rgb="FFE0FFE0"/>
        <bgColor rgb="FF4472C4"/>
      </patternFill>
    </fill>
    <fill>
      <patternFill patternType="solid">
        <fgColor rgb="FFD8D8D8"/>
        <bgColor rgb="FFDAE3F3"/>
      </patternFill>
    </fill>
    <fill>
      <patternFill patternType="solid">
        <fgColor rgb="FFD8D8D8"/>
      </patternFill>
    </fill>
    <fill>
      <patternFill patternType="solid">
        <fgColor rgb="FFD8D8D8"/>
        <bgColor auto="1"/>
      </patternFill>
    </fill>
    <fill>
      <patternFill patternType="none">
        <fgColor auto="1"/>
        <bgColor auto="1"/>
      </patternFill>
    </fill>
    <fill>
      <patternFill patternType="solid">
        <fgColor rgb="FFA6CAF0"/>
      </patternFill>
    </fill>
    <fill>
      <patternFill patternType="solid">
        <fgColor rgb="FFFFCC00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2" borderId="1"/>
  </cellStyleXfs>
  <cellXfs count="247">
    <xf numFmtId="0" fontId="0" fillId="2" borderId="1" xfId="0"/>
    <xf numFmtId="0" fontId="0" fillId="2" borderId="1" xfId="0" applyAlignment="1">
      <alignment vertical="center"/>
    </xf>
    <xf numFmtId="0" fontId="0" fillId="2" borderId="1" xfId="0" applyAlignment="1">
      <alignment horizontal="left" vertical="center"/>
    </xf>
    <xf numFmtId="0" fontId="0" fillId="2" borderId="1" xfId="0" applyAlignment="1">
      <alignment horizontal="left"/>
    </xf>
    <xf numFmtId="0" fontId="0" fillId="2" borderId="1" xfId="0" applyAlignment="1">
      <alignment horizontal="left" vertical="top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4" borderId="8" xfId="0" applyFont="1" applyFill="1" applyBorder="1" applyAlignment="1">
      <alignment horizontal="left" vertical="center"/>
    </xf>
    <xf numFmtId="0" fontId="0" fillId="4" borderId="1" xfId="0" applyFill="1" applyAlignment="1">
      <alignment horizontal="left"/>
    </xf>
    <xf numFmtId="0" fontId="0" fillId="4" borderId="9" xfId="0" applyFill="1" applyBorder="1" applyAlignment="1">
      <alignment horizontal="left"/>
    </xf>
    <xf numFmtId="0" fontId="3" fillId="2" borderId="10" xfId="0" applyFont="1" applyBorder="1" applyAlignment="1">
      <alignment horizontal="left" vertical="center"/>
    </xf>
    <xf numFmtId="0" fontId="3" fillId="2" borderId="11" xfId="0" applyFont="1" applyBorder="1" applyAlignment="1">
      <alignment horizontal="left" vertical="center"/>
    </xf>
    <xf numFmtId="0" fontId="4" fillId="2" borderId="11" xfId="0" applyFont="1" applyBorder="1" applyAlignment="1">
      <alignment horizontal="left" vertical="center"/>
    </xf>
    <xf numFmtId="0" fontId="0" fillId="2" borderId="11" xfId="0" applyBorder="1" applyAlignment="1">
      <alignment horizontal="left" vertical="center"/>
    </xf>
    <xf numFmtId="164" fontId="4" fillId="2" borderId="12" xfId="0" applyNumberFormat="1" applyFont="1" applyBorder="1" applyAlignment="1">
      <alignment horizontal="left" vertical="center"/>
    </xf>
    <xf numFmtId="2" fontId="4" fillId="2" borderId="1" xfId="0" applyNumberFormat="1" applyFont="1" applyAlignment="1">
      <alignment horizontal="left" vertical="center"/>
    </xf>
    <xf numFmtId="0" fontId="3" fillId="2" borderId="8" xfId="0" applyFont="1" applyBorder="1" applyAlignment="1">
      <alignment horizontal="left" vertical="center"/>
    </xf>
    <xf numFmtId="0" fontId="3" fillId="2" borderId="1" xfId="0" applyFont="1" applyAlignment="1">
      <alignment horizontal="left" vertical="center"/>
    </xf>
    <xf numFmtId="0" fontId="4" fillId="2" borderId="1" xfId="0" applyFont="1" applyAlignment="1">
      <alignment horizontal="left" vertical="center"/>
    </xf>
    <xf numFmtId="0" fontId="4" fillId="2" borderId="9" xfId="0" applyFont="1" applyBorder="1" applyAlignment="1">
      <alignment horizontal="left" vertical="center"/>
    </xf>
    <xf numFmtId="164" fontId="4" fillId="2" borderId="9" xfId="0" applyNumberFormat="1" applyFont="1" applyBorder="1" applyAlignment="1">
      <alignment horizontal="left" vertical="center"/>
    </xf>
    <xf numFmtId="0" fontId="3" fillId="2" borderId="5" xfId="0" applyFont="1" applyBorder="1" applyAlignment="1">
      <alignment horizontal="left" vertical="center"/>
    </xf>
    <xf numFmtId="0" fontId="3" fillId="2" borderId="6" xfId="0" applyFont="1" applyBorder="1" applyAlignment="1">
      <alignment horizontal="left" vertical="center"/>
    </xf>
    <xf numFmtId="1" fontId="4" fillId="2" borderId="6" xfId="0" applyNumberFormat="1" applyFont="1" applyBorder="1" applyAlignment="1">
      <alignment horizontal="left" vertical="center"/>
    </xf>
    <xf numFmtId="0" fontId="0" fillId="2" borderId="6" xfId="0" applyBorder="1" applyAlignment="1">
      <alignment horizontal="left" vertical="center"/>
    </xf>
    <xf numFmtId="0" fontId="4" fillId="2" borderId="7" xfId="0" applyFont="1" applyBorder="1" applyAlignment="1">
      <alignment horizontal="left" vertical="center"/>
    </xf>
    <xf numFmtId="165" fontId="4" fillId="2" borderId="1" xfId="0" applyNumberFormat="1" applyFont="1" applyAlignment="1">
      <alignment horizontal="left" vertical="center"/>
    </xf>
    <xf numFmtId="1" fontId="4" fillId="2" borderId="1" xfId="0" applyNumberFormat="1" applyFont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5" fillId="5" borderId="16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1" fontId="5" fillId="6" borderId="19" xfId="0" applyNumberFormat="1" applyFont="1" applyFill="1" applyBorder="1"/>
    <xf numFmtId="0" fontId="5" fillId="6" borderId="19" xfId="0" applyFont="1" applyFill="1" applyBorder="1"/>
    <xf numFmtId="166" fontId="5" fillId="6" borderId="19" xfId="0" applyNumberFormat="1" applyFont="1" applyFill="1" applyBorder="1"/>
    <xf numFmtId="1" fontId="5" fillId="7" borderId="19" xfId="0" applyNumberFormat="1" applyFont="1" applyFill="1" applyBorder="1"/>
    <xf numFmtId="0" fontId="5" fillId="7" borderId="19" xfId="0" applyFont="1" applyFill="1" applyBorder="1"/>
    <xf numFmtId="166" fontId="5" fillId="7" borderId="19" xfId="0" applyNumberFormat="1" applyFont="1" applyFill="1" applyBorder="1"/>
    <xf numFmtId="0" fontId="0" fillId="2" borderId="20" xfId="0" applyBorder="1"/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2" fontId="4" fillId="2" borderId="9" xfId="0" applyNumberFormat="1" applyFont="1" applyBorder="1" applyAlignment="1">
      <alignment horizontal="left" vertical="center"/>
    </xf>
    <xf numFmtId="165" fontId="4" fillId="2" borderId="9" xfId="0" applyNumberFormat="1" applyFont="1" applyBorder="1" applyAlignment="1">
      <alignment horizontal="left" vertical="center"/>
    </xf>
    <xf numFmtId="167" fontId="4" fillId="2" borderId="1" xfId="0" applyNumberFormat="1" applyFont="1" applyAlignment="1">
      <alignment horizontal="left" vertical="center"/>
    </xf>
    <xf numFmtId="167" fontId="4" fillId="2" borderId="9" xfId="0" applyNumberFormat="1" applyFont="1" applyBorder="1" applyAlignment="1">
      <alignment horizontal="left" vertical="center"/>
    </xf>
    <xf numFmtId="168" fontId="4" fillId="2" borderId="6" xfId="0" applyNumberFormat="1" applyFont="1" applyBorder="1" applyAlignment="1">
      <alignment horizontal="left" vertical="center"/>
    </xf>
    <xf numFmtId="167" fontId="4" fillId="2" borderId="6" xfId="0" applyNumberFormat="1" applyFont="1" applyBorder="1" applyAlignment="1">
      <alignment horizontal="left" vertical="center"/>
    </xf>
    <xf numFmtId="167" fontId="4" fillId="2" borderId="7" xfId="0" applyNumberFormat="1" applyFont="1" applyBorder="1" applyAlignment="1">
      <alignment horizontal="left" vertical="center"/>
    </xf>
    <xf numFmtId="169" fontId="4" fillId="2" borderId="1" xfId="0" applyNumberFormat="1" applyFont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5" fillId="5" borderId="16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2" xfId="0" applyBorder="1"/>
    <xf numFmtId="0" fontId="5" fillId="5" borderId="17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vertical="center"/>
    </xf>
    <xf numFmtId="170" fontId="5" fillId="8" borderId="4" xfId="0" applyNumberFormat="1" applyFont="1" applyFill="1" applyBorder="1" applyAlignment="1">
      <alignment vertical="center"/>
    </xf>
    <xf numFmtId="171" fontId="5" fillId="8" borderId="4" xfId="0" applyNumberFormat="1" applyFont="1" applyFill="1" applyBorder="1" applyAlignment="1">
      <alignment vertical="center"/>
    </xf>
    <xf numFmtId="172" fontId="5" fillId="8" borderId="4" xfId="0" applyNumberFormat="1" applyFont="1" applyFill="1" applyBorder="1" applyAlignment="1">
      <alignment vertical="center"/>
    </xf>
    <xf numFmtId="2" fontId="5" fillId="8" borderId="4" xfId="0" applyNumberFormat="1" applyFont="1" applyFill="1" applyBorder="1" applyAlignment="1">
      <alignment vertical="center"/>
    </xf>
    <xf numFmtId="0" fontId="5" fillId="8" borderId="17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vertical="center"/>
    </xf>
    <xf numFmtId="170" fontId="5" fillId="8" borderId="23" xfId="0" applyNumberFormat="1" applyFont="1" applyFill="1" applyBorder="1" applyAlignment="1">
      <alignment vertical="center"/>
    </xf>
    <xf numFmtId="171" fontId="5" fillId="8" borderId="23" xfId="0" applyNumberFormat="1" applyFont="1" applyFill="1" applyBorder="1" applyAlignment="1">
      <alignment vertical="center"/>
    </xf>
    <xf numFmtId="172" fontId="5" fillId="8" borderId="23" xfId="0" applyNumberFormat="1" applyFont="1" applyFill="1" applyBorder="1" applyAlignment="1">
      <alignment vertical="center"/>
    </xf>
    <xf numFmtId="2" fontId="5" fillId="8" borderId="23" xfId="0" applyNumberFormat="1" applyFont="1" applyFill="1" applyBorder="1" applyAlignment="1">
      <alignment vertical="center"/>
    </xf>
    <xf numFmtId="0" fontId="5" fillId="8" borderId="18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vertical="center"/>
    </xf>
    <xf numFmtId="170" fontId="5" fillId="8" borderId="24" xfId="0" applyNumberFormat="1" applyFont="1" applyFill="1" applyBorder="1" applyAlignment="1">
      <alignment vertical="center"/>
    </xf>
    <xf numFmtId="171" fontId="5" fillId="8" borderId="24" xfId="0" applyNumberFormat="1" applyFont="1" applyFill="1" applyBorder="1" applyAlignment="1">
      <alignment vertical="center"/>
    </xf>
    <xf numFmtId="172" fontId="5" fillId="8" borderId="24" xfId="0" applyNumberFormat="1" applyFont="1" applyFill="1" applyBorder="1" applyAlignment="1">
      <alignment vertical="center"/>
    </xf>
    <xf numFmtId="2" fontId="5" fillId="8" borderId="24" xfId="0" applyNumberFormat="1" applyFont="1" applyFill="1" applyBorder="1" applyAlignment="1">
      <alignment vertical="center"/>
    </xf>
    <xf numFmtId="0" fontId="7" fillId="9" borderId="25" xfId="0" applyFont="1" applyFill="1" applyBorder="1" applyAlignment="1">
      <alignment vertical="center"/>
    </xf>
    <xf numFmtId="173" fontId="8" fillId="9" borderId="26" xfId="0" applyNumberFormat="1" applyFont="1" applyFill="1" applyBorder="1" applyAlignment="1">
      <alignment vertical="center"/>
    </xf>
    <xf numFmtId="0" fontId="8" fillId="9" borderId="26" xfId="0" applyFont="1" applyFill="1" applyBorder="1" applyAlignment="1">
      <alignment vertical="center"/>
    </xf>
    <xf numFmtId="170" fontId="7" fillId="9" borderId="26" xfId="0" applyNumberFormat="1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2" fillId="4" borderId="31" xfId="0" applyFont="1" applyFill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2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/>
    </xf>
    <xf numFmtId="0" fontId="3" fillId="2" borderId="1" xfId="0" applyFont="1" applyAlignment="1">
      <alignment vertical="center"/>
    </xf>
    <xf numFmtId="167" fontId="0" fillId="2" borderId="9" xfId="0" applyNumberFormat="1" applyBorder="1" applyAlignment="1">
      <alignment horizontal="left" vertical="center"/>
    </xf>
    <xf numFmtId="174" fontId="0" fillId="2" borderId="1" xfId="0" applyNumberFormat="1"/>
    <xf numFmtId="1" fontId="0" fillId="2" borderId="1" xfId="0" applyNumberFormat="1" applyAlignment="1">
      <alignment horizontal="left" vertical="center"/>
    </xf>
    <xf numFmtId="0" fontId="0" fillId="2" borderId="6" xfId="0" applyBorder="1"/>
    <xf numFmtId="1" fontId="0" fillId="2" borderId="6" xfId="0" applyNumberFormat="1" applyBorder="1" applyAlignment="1">
      <alignment horizontal="left" vertical="center"/>
    </xf>
    <xf numFmtId="0" fontId="3" fillId="2" borderId="6" xfId="0" applyFont="1" applyBorder="1" applyAlignment="1">
      <alignment vertical="center"/>
    </xf>
    <xf numFmtId="0" fontId="0" fillId="2" borderId="6" xfId="0" applyBorder="1" applyAlignment="1">
      <alignment vertical="center"/>
    </xf>
    <xf numFmtId="167" fontId="0" fillId="2" borderId="7" xfId="0" applyNumberFormat="1" applyBorder="1" applyAlignment="1">
      <alignment horizontal="left" vertical="center"/>
    </xf>
    <xf numFmtId="0" fontId="2" fillId="4" borderId="31" xfId="0" applyFont="1" applyFill="1" applyBorder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0" fontId="9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 vertical="center"/>
    </xf>
    <xf numFmtId="1" fontId="5" fillId="8" borderId="16" xfId="0" applyNumberFormat="1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/>
    </xf>
    <xf numFmtId="171" fontId="5" fillId="8" borderId="4" xfId="0" applyNumberFormat="1" applyFont="1" applyFill="1" applyBorder="1"/>
    <xf numFmtId="170" fontId="5" fillId="8" borderId="4" xfId="0" applyNumberFormat="1" applyFont="1" applyFill="1" applyBorder="1"/>
    <xf numFmtId="0" fontId="0" fillId="2" borderId="1" xfId="0" applyAlignment="1">
      <alignment horizontal="center" vertical="center"/>
    </xf>
    <xf numFmtId="1" fontId="5" fillId="8" borderId="17" xfId="0" applyNumberFormat="1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center"/>
    </xf>
    <xf numFmtId="171" fontId="5" fillId="8" borderId="23" xfId="0" applyNumberFormat="1" applyFont="1" applyFill="1" applyBorder="1"/>
    <xf numFmtId="170" fontId="5" fillId="8" borderId="23" xfId="0" applyNumberFormat="1" applyFont="1" applyFill="1" applyBorder="1"/>
    <xf numFmtId="1" fontId="5" fillId="8" borderId="18" xfId="0" applyNumberFormat="1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center"/>
    </xf>
    <xf numFmtId="171" fontId="5" fillId="8" borderId="24" xfId="0" applyNumberFormat="1" applyFont="1" applyFill="1" applyBorder="1"/>
    <xf numFmtId="170" fontId="5" fillId="8" borderId="24" xfId="0" applyNumberFormat="1" applyFont="1" applyFill="1" applyBorder="1"/>
    <xf numFmtId="0" fontId="9" fillId="4" borderId="8" xfId="0" applyFont="1" applyFill="1" applyBorder="1" applyAlignment="1">
      <alignment horizontal="left" vertical="center"/>
    </xf>
    <xf numFmtId="0" fontId="8" fillId="4" borderId="1" xfId="0" applyFont="1" applyFill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10" fillId="9" borderId="10" xfId="0" applyFont="1" applyFill="1" applyBorder="1" applyAlignment="1">
      <alignment horizontal="left" vertical="center"/>
    </xf>
    <xf numFmtId="0" fontId="10" fillId="9" borderId="11" xfId="0" applyFont="1" applyFill="1" applyBorder="1" applyAlignment="1">
      <alignment horizontal="left" vertical="center"/>
    </xf>
    <xf numFmtId="0" fontId="7" fillId="9" borderId="11" xfId="0" applyFont="1" applyFill="1" applyBorder="1" applyAlignment="1">
      <alignment horizontal="left" vertical="center"/>
    </xf>
    <xf numFmtId="0" fontId="8" fillId="9" borderId="11" xfId="0" applyFont="1" applyFill="1" applyBorder="1" applyAlignment="1">
      <alignment horizontal="left" vertical="center"/>
    </xf>
    <xf numFmtId="2" fontId="7" fillId="9" borderId="1" xfId="0" applyNumberFormat="1" applyFont="1" applyFill="1" applyAlignment="1">
      <alignment horizontal="left" vertical="center"/>
    </xf>
    <xf numFmtId="2" fontId="7" fillId="9" borderId="9" xfId="0" applyNumberFormat="1" applyFont="1" applyFill="1" applyBorder="1" applyAlignment="1">
      <alignment horizontal="left" vertical="center"/>
    </xf>
    <xf numFmtId="0" fontId="10" fillId="9" borderId="8" xfId="0" applyFont="1" applyFill="1" applyBorder="1" applyAlignment="1">
      <alignment horizontal="left" vertical="center"/>
    </xf>
    <xf numFmtId="0" fontId="10" fillId="9" borderId="1" xfId="0" applyFont="1" applyFill="1" applyAlignment="1">
      <alignment horizontal="left" vertical="center"/>
    </xf>
    <xf numFmtId="0" fontId="7" fillId="9" borderId="1" xfId="0" applyFont="1" applyFill="1" applyAlignment="1">
      <alignment horizontal="left" vertical="center"/>
    </xf>
    <xf numFmtId="0" fontId="8" fillId="9" borderId="1" xfId="0" applyFont="1" applyFill="1" applyAlignment="1">
      <alignment horizontal="left" vertical="center"/>
    </xf>
    <xf numFmtId="0" fontId="7" fillId="9" borderId="9" xfId="0" applyFont="1" applyFill="1" applyBorder="1" applyAlignment="1">
      <alignment horizontal="left" vertical="center"/>
    </xf>
    <xf numFmtId="165" fontId="7" fillId="9" borderId="9" xfId="0" applyNumberFormat="1" applyFont="1" applyFill="1" applyBorder="1" applyAlignment="1">
      <alignment horizontal="left" vertical="center"/>
    </xf>
    <xf numFmtId="167" fontId="7" fillId="9" borderId="1" xfId="0" applyNumberFormat="1" applyFont="1" applyFill="1" applyAlignment="1">
      <alignment horizontal="left" vertical="center"/>
    </xf>
    <xf numFmtId="167" fontId="7" fillId="9" borderId="9" xfId="0" applyNumberFormat="1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/>
    </xf>
    <xf numFmtId="168" fontId="7" fillId="9" borderId="6" xfId="0" applyNumberFormat="1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167" fontId="7" fillId="9" borderId="6" xfId="0" applyNumberFormat="1" applyFont="1" applyFill="1" applyBorder="1" applyAlignment="1">
      <alignment horizontal="left" vertical="center"/>
    </xf>
    <xf numFmtId="167" fontId="7" fillId="9" borderId="7" xfId="0" applyNumberFormat="1" applyFont="1" applyFill="1" applyBorder="1" applyAlignment="1">
      <alignment horizontal="left" vertical="center"/>
    </xf>
    <xf numFmtId="0" fontId="2" fillId="10" borderId="34" xfId="0" applyFont="1" applyFill="1" applyBorder="1" applyAlignment="1">
      <alignment horizontal="left" vertical="center"/>
    </xf>
    <xf numFmtId="0" fontId="0" fillId="10" borderId="35" xfId="0" applyFill="1" applyBorder="1" applyAlignment="1">
      <alignment horizontal="left"/>
    </xf>
    <xf numFmtId="0" fontId="0" fillId="10" borderId="36" xfId="0" applyFill="1" applyBorder="1" applyAlignment="1">
      <alignment horizontal="left"/>
    </xf>
    <xf numFmtId="170" fontId="5" fillId="8" borderId="4" xfId="0" applyNumberFormat="1" applyFont="1" applyFill="1" applyBorder="1" applyAlignment="1">
      <alignment horizontal="center" vertical="center"/>
    </xf>
    <xf numFmtId="174" fontId="5" fillId="8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170" fontId="5" fillId="8" borderId="23" xfId="0" applyNumberFormat="1" applyFont="1" applyFill="1" applyBorder="1" applyAlignment="1">
      <alignment horizontal="center" vertical="center"/>
    </xf>
    <xf numFmtId="174" fontId="5" fillId="8" borderId="23" xfId="0" applyNumberFormat="1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2" fontId="5" fillId="8" borderId="23" xfId="0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174" fontId="5" fillId="8" borderId="24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2" fontId="5" fillId="8" borderId="24" xfId="0" applyNumberFormat="1" applyFont="1" applyFill="1" applyBorder="1" applyAlignment="1">
      <alignment horizontal="center" vertical="center"/>
    </xf>
    <xf numFmtId="0" fontId="0" fillId="11" borderId="39" xfId="0" applyFill="1" applyBorder="1"/>
    <xf numFmtId="0" fontId="0" fillId="10" borderId="1" xfId="0" applyFill="1" applyAlignment="1">
      <alignment horizontal="left"/>
    </xf>
    <xf numFmtId="0" fontId="0" fillId="4" borderId="30" xfId="0" applyFill="1" applyBorder="1" applyAlignment="1">
      <alignment horizontal="left"/>
    </xf>
    <xf numFmtId="0" fontId="0" fillId="2" borderId="40" xfId="0" applyBorder="1" applyAlignment="1">
      <alignment vertical="center"/>
    </xf>
    <xf numFmtId="0" fontId="10" fillId="2" borderId="41" xfId="0" applyFont="1" applyBorder="1" applyAlignment="1">
      <alignment horizontal="left" vertical="center"/>
    </xf>
    <xf numFmtId="0" fontId="10" fillId="2" borderId="42" xfId="0" applyFont="1" applyBorder="1" applyAlignment="1">
      <alignment horizontal="left" vertical="center"/>
    </xf>
    <xf numFmtId="0" fontId="7" fillId="2" borderId="42" xfId="0" applyFont="1" applyBorder="1" applyAlignment="1">
      <alignment horizontal="left" vertical="center"/>
    </xf>
    <xf numFmtId="0" fontId="0" fillId="2" borderId="3" xfId="0" applyBorder="1" applyAlignment="1">
      <alignment horizontal="left" vertical="center"/>
    </xf>
    <xf numFmtId="2" fontId="7" fillId="2" borderId="43" xfId="0" applyNumberFormat="1" applyFont="1" applyBorder="1" applyAlignment="1">
      <alignment horizontal="left" vertical="center"/>
    </xf>
    <xf numFmtId="2" fontId="7" fillId="9" borderId="38" xfId="0" applyNumberFormat="1" applyFont="1" applyFill="1" applyBorder="1" applyAlignment="1">
      <alignment horizontal="left" vertical="center"/>
    </xf>
    <xf numFmtId="0" fontId="0" fillId="2" borderId="22" xfId="0" applyBorder="1" applyAlignment="1">
      <alignment horizontal="left" vertical="center"/>
    </xf>
    <xf numFmtId="0" fontId="10" fillId="2" borderId="44" xfId="0" applyFont="1" applyBorder="1" applyAlignment="1">
      <alignment horizontal="left" vertical="center"/>
    </xf>
    <xf numFmtId="0" fontId="10" fillId="2" borderId="45" xfId="0" applyFont="1" applyBorder="1" applyAlignment="1">
      <alignment horizontal="left" vertical="center"/>
    </xf>
    <xf numFmtId="0" fontId="7" fillId="2" borderId="45" xfId="0" applyFont="1" applyBorder="1" applyAlignment="1">
      <alignment horizontal="left" vertical="center"/>
    </xf>
    <xf numFmtId="0" fontId="0" fillId="2" borderId="38" xfId="0" applyBorder="1" applyAlignment="1">
      <alignment horizontal="left" vertical="center"/>
    </xf>
    <xf numFmtId="2" fontId="7" fillId="2" borderId="46" xfId="0" applyNumberFormat="1" applyFont="1" applyBorder="1" applyAlignment="1">
      <alignment horizontal="left" vertical="center"/>
    </xf>
    <xf numFmtId="0" fontId="0" fillId="2" borderId="22" xfId="0" applyBorder="1" applyAlignment="1">
      <alignment vertical="center"/>
    </xf>
    <xf numFmtId="0" fontId="7" fillId="2" borderId="46" xfId="0" applyFont="1" applyBorder="1" applyAlignment="1">
      <alignment horizontal="left" vertical="center"/>
    </xf>
    <xf numFmtId="0" fontId="7" fillId="9" borderId="38" xfId="0" applyFont="1" applyFill="1" applyBorder="1" applyAlignment="1">
      <alignment horizontal="left" vertical="center"/>
    </xf>
    <xf numFmtId="165" fontId="7" fillId="9" borderId="38" xfId="0" applyNumberFormat="1" applyFont="1" applyFill="1" applyBorder="1" applyAlignment="1">
      <alignment horizontal="left" vertical="center"/>
    </xf>
    <xf numFmtId="167" fontId="7" fillId="2" borderId="46" xfId="0" applyNumberFormat="1" applyFont="1" applyBorder="1" applyAlignment="1">
      <alignment horizontal="left" vertical="center"/>
    </xf>
    <xf numFmtId="167" fontId="7" fillId="9" borderId="38" xfId="0" applyNumberFormat="1" applyFont="1" applyFill="1" applyBorder="1" applyAlignment="1">
      <alignment horizontal="left" vertical="center"/>
    </xf>
    <xf numFmtId="0" fontId="10" fillId="2" borderId="47" xfId="0" applyFont="1" applyBorder="1" applyAlignment="1">
      <alignment horizontal="left" vertical="center"/>
    </xf>
    <xf numFmtId="0" fontId="10" fillId="2" borderId="48" xfId="0" applyFont="1" applyBorder="1" applyAlignment="1">
      <alignment horizontal="left" vertical="center"/>
    </xf>
    <xf numFmtId="168" fontId="7" fillId="2" borderId="48" xfId="0" applyNumberFormat="1" applyFont="1" applyBorder="1" applyAlignment="1">
      <alignment horizontal="left" vertical="center"/>
    </xf>
    <xf numFmtId="0" fontId="0" fillId="2" borderId="49" xfId="0" applyBorder="1" applyAlignment="1">
      <alignment horizontal="left" vertical="center"/>
    </xf>
    <xf numFmtId="167" fontId="7" fillId="2" borderId="50" xfId="0" applyNumberFormat="1" applyFont="1" applyBorder="1" applyAlignment="1">
      <alignment horizontal="left" vertical="center"/>
    </xf>
    <xf numFmtId="0" fontId="0" fillId="2" borderId="20" xfId="0" applyBorder="1" applyAlignment="1">
      <alignment horizontal="left" vertical="center"/>
    </xf>
    <xf numFmtId="0" fontId="0" fillId="10" borderId="51" xfId="0" applyFill="1" applyBorder="1" applyAlignment="1">
      <alignment horizontal="left"/>
    </xf>
    <xf numFmtId="0" fontId="5" fillId="5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vertical="center"/>
    </xf>
    <xf numFmtId="0" fontId="5" fillId="8" borderId="19" xfId="0" applyFont="1" applyFill="1" applyBorder="1" applyAlignment="1">
      <alignment vertical="center"/>
    </xf>
    <xf numFmtId="0" fontId="5" fillId="8" borderId="19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left" vertical="center"/>
    </xf>
    <xf numFmtId="0" fontId="7" fillId="9" borderId="52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vertical="center"/>
    </xf>
    <xf numFmtId="0" fontId="0" fillId="3" borderId="8" xfId="0" applyFill="1" applyBorder="1"/>
    <xf numFmtId="0" fontId="0" fillId="3" borderId="1" xfId="0" applyFill="1"/>
    <xf numFmtId="0" fontId="0" fillId="3" borderId="9" xfId="0" applyFill="1" applyBorder="1"/>
    <xf numFmtId="164" fontId="7" fillId="9" borderId="12" xfId="0" applyNumberFormat="1" applyFont="1" applyFill="1" applyBorder="1" applyAlignment="1">
      <alignment horizontal="left" vertical="center"/>
    </xf>
    <xf numFmtId="164" fontId="7" fillId="9" borderId="9" xfId="0" applyNumberFormat="1" applyFont="1" applyFill="1" applyBorder="1" applyAlignment="1">
      <alignment horizontal="left" vertical="center"/>
    </xf>
    <xf numFmtId="1" fontId="7" fillId="9" borderId="6" xfId="0" applyNumberFormat="1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0" fontId="0" fillId="2" borderId="8" xfId="0" applyBorder="1"/>
    <xf numFmtId="0" fontId="0" fillId="2" borderId="9" xfId="0" applyBorder="1"/>
    <xf numFmtId="0" fontId="9" fillId="4" borderId="53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center" vertical="center"/>
    </xf>
    <xf numFmtId="0" fontId="5" fillId="5" borderId="55" xfId="0" applyFont="1" applyFill="1" applyBorder="1" applyAlignment="1">
      <alignment horizontal="left" vertical="center"/>
    </xf>
    <xf numFmtId="0" fontId="5" fillId="5" borderId="55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left" vertical="center"/>
    </xf>
    <xf numFmtId="0" fontId="5" fillId="5" borderId="56" xfId="0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174" fontId="5" fillId="6" borderId="19" xfId="0" applyNumberFormat="1" applyFont="1" applyFill="1" applyBorder="1" applyAlignment="1">
      <alignment horizontal="center" vertical="center"/>
    </xf>
    <xf numFmtId="167" fontId="5" fillId="6" borderId="19" xfId="0" applyNumberFormat="1" applyFont="1" applyFill="1" applyBorder="1" applyAlignment="1">
      <alignment horizontal="center" vertical="center"/>
    </xf>
    <xf numFmtId="2" fontId="5" fillId="6" borderId="19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1" fontId="5" fillId="7" borderId="19" xfId="0" applyNumberFormat="1" applyFont="1" applyFill="1" applyBorder="1" applyAlignment="1">
      <alignment horizontal="left" vertical="center"/>
    </xf>
    <xf numFmtId="0" fontId="5" fillId="7" borderId="19" xfId="0" applyFont="1" applyFill="1" applyBorder="1" applyAlignment="1">
      <alignment horizontal="left" vertical="center"/>
    </xf>
    <xf numFmtId="174" fontId="5" fillId="7" borderId="19" xfId="0" applyNumberFormat="1" applyFont="1" applyFill="1" applyBorder="1" applyAlignment="1">
      <alignment horizontal="center" vertical="center"/>
    </xf>
    <xf numFmtId="167" fontId="5" fillId="7" borderId="19" xfId="0" applyNumberFormat="1" applyFont="1" applyFill="1" applyBorder="1" applyAlignment="1">
      <alignment horizontal="center" vertical="center"/>
    </xf>
    <xf numFmtId="2" fontId="5" fillId="7" borderId="19" xfId="0" applyNumberFormat="1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3" fillId="2" borderId="1" xfId="0" applyFont="1" applyAlignment="1">
      <alignment horizontal="left" vertical="top"/>
    </xf>
    <xf numFmtId="2" fontId="4" fillId="2" borderId="1" xfId="0" applyNumberFormat="1" applyFont="1" applyAlignment="1">
      <alignment horizontal="left" vertical="top"/>
    </xf>
    <xf numFmtId="175" fontId="4" fillId="2" borderId="1" xfId="0" applyNumberFormat="1" applyFont="1" applyAlignment="1">
      <alignment horizontal="left" vertical="top"/>
    </xf>
    <xf numFmtId="0" fontId="12" fillId="2" borderId="57" xfId="0" applyFont="1" applyBorder="1"/>
    <xf numFmtId="0" fontId="12" fillId="2" borderId="58" xfId="0" applyFont="1" applyBorder="1"/>
    <xf numFmtId="0" fontId="5" fillId="2" borderId="38" xfId="0" applyFont="1" applyBorder="1"/>
    <xf numFmtId="0" fontId="6" fillId="3" borderId="2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1" xfId="0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A0E0E0"/>
      <rgbColor rgb="FF600080"/>
      <rgbColor rgb="FFFF8080"/>
      <rgbColor rgb="FF0080C0"/>
      <rgbColor rgb="FFC0C0FF"/>
      <rgbColor rgb="FFFFCCCC"/>
      <rgbColor rgb="FFFF6600"/>
      <rgbColor rgb="FFFFCC00"/>
      <rgbColor rgb="FFCCFF00"/>
      <rgbColor rgb="FFCCCCFF"/>
      <rgbColor rgb="FFCC00FF"/>
      <rgbColor rgb="FFC0DCC0"/>
      <rgbColor rgb="FF006600"/>
      <rgbColor rgb="FF00CFFF"/>
      <rgbColor rgb="FF69FFFF"/>
      <rgbColor rgb="FFE0FFE0"/>
      <rgbColor rgb="FFFFFF80"/>
      <rgbColor rgb="FFA6CAF0"/>
      <rgbColor rgb="FFDD9CB3"/>
      <rgbColor rgb="FFB38FEE"/>
      <rgbColor rgb="FFE3E3E3"/>
      <rgbColor rgb="FF2A6FF9"/>
      <rgbColor rgb="FF3FB8CD"/>
      <rgbColor rgb="FF488436"/>
      <rgbColor rgb="FF958C41"/>
      <rgbColor rgb="FF8E5E42"/>
      <rgbColor rgb="FFA0627A"/>
      <rgbColor rgb="FF624FAC"/>
      <rgbColor rgb="FF969696"/>
      <rgbColor rgb="FF1D2FBE"/>
      <rgbColor rgb="FF286676"/>
      <rgbColor rgb="FF004500"/>
      <rgbColor rgb="FF453E01"/>
      <rgbColor rgb="FF6A2813"/>
      <rgbColor rgb="FF85396A"/>
      <rgbColor rgb="FF4A3285"/>
      <rgbColor rgb="FF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2B5753-4CBB-4D5A-A901-2E68062EBC6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0"/>
          <a:ext cx="739140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34</xdr:row>
      <xdr:rowOff>144145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19050</xdr:rowOff>
    </xdr:from>
    <xdr:to>
      <xdr:col>6</xdr:col>
      <xdr:colOff>0</xdr:colOff>
      <xdr:row>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9525</xdr:colOff>
      <xdr:row>45</xdr:row>
      <xdr:rowOff>145415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550" cy="40481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zoomScaleNormal="100" zoomScaleSheetLayoutView="100" workbookViewId="0">
      <selection sqref="A1:G1"/>
    </sheetView>
  </sheetViews>
  <sheetFormatPr defaultColWidth="9.140625" defaultRowHeight="12.75" x14ac:dyDescent="0.2"/>
  <cols>
    <col min="2" max="2" width="17.85546875" customWidth="1"/>
    <col min="3" max="3" width="8.42578125" customWidth="1"/>
    <col min="4" max="4" width="19.28515625" customWidth="1"/>
    <col min="5" max="5" width="8.140625" customWidth="1"/>
    <col min="6" max="6" width="20" customWidth="1"/>
    <col min="7" max="7" width="18.7109375" customWidth="1"/>
  </cols>
  <sheetData>
    <row r="1" spans="1:8" ht="21" x14ac:dyDescent="0.2">
      <c r="A1" s="240" t="s">
        <v>0</v>
      </c>
      <c r="B1" s="241"/>
      <c r="C1" s="241"/>
      <c r="D1" s="241"/>
      <c r="E1" s="241"/>
      <c r="F1" s="241"/>
      <c r="G1" s="242"/>
    </row>
    <row r="2" spans="1:8" x14ac:dyDescent="0.2">
      <c r="A2" s="5"/>
      <c r="B2" s="6"/>
      <c r="C2" s="6"/>
      <c r="D2" s="6"/>
      <c r="E2" s="6"/>
      <c r="F2" s="6"/>
      <c r="G2" s="7"/>
    </row>
    <row r="3" spans="1:8" ht="15.75" x14ac:dyDescent="0.2">
      <c r="A3" s="8" t="s">
        <v>1</v>
      </c>
      <c r="B3" s="9"/>
      <c r="C3" s="9"/>
      <c r="D3" s="9"/>
      <c r="E3" s="9"/>
      <c r="F3" s="9"/>
      <c r="G3" s="10"/>
      <c r="H3" s="3"/>
    </row>
    <row r="4" spans="1:8" x14ac:dyDescent="0.2">
      <c r="A4" s="11" t="s">
        <v>2</v>
      </c>
      <c r="B4" s="12"/>
      <c r="C4" s="13" t="s">
        <v>3</v>
      </c>
      <c r="D4" s="14"/>
      <c r="E4" s="14"/>
      <c r="F4" s="12" t="s">
        <v>4</v>
      </c>
      <c r="G4" s="15">
        <v>42865.586736805555</v>
      </c>
      <c r="H4" s="16"/>
    </row>
    <row r="5" spans="1:8" x14ac:dyDescent="0.2">
      <c r="A5" s="17" t="s">
        <v>5</v>
      </c>
      <c r="B5" s="18"/>
      <c r="C5" s="19" t="s">
        <v>6</v>
      </c>
      <c r="D5" s="2"/>
      <c r="E5" s="2"/>
      <c r="F5" s="18" t="s">
        <v>7</v>
      </c>
      <c r="G5" s="20" t="s">
        <v>8</v>
      </c>
      <c r="H5" s="16"/>
    </row>
    <row r="6" spans="1:8" x14ac:dyDescent="0.2">
      <c r="A6" s="17" t="s">
        <v>9</v>
      </c>
      <c r="B6" s="18"/>
      <c r="C6" s="19" t="s">
        <v>10</v>
      </c>
      <c r="D6" s="2"/>
      <c r="E6" s="2"/>
      <c r="F6" s="18" t="s">
        <v>11</v>
      </c>
      <c r="G6" s="21">
        <v>45015.525102340107</v>
      </c>
      <c r="H6" s="19"/>
    </row>
    <row r="7" spans="1:8" x14ac:dyDescent="0.2">
      <c r="A7" s="22" t="s">
        <v>12</v>
      </c>
      <c r="B7" s="23"/>
      <c r="C7" s="24">
        <v>7</v>
      </c>
      <c r="D7" s="25"/>
      <c r="E7" s="25"/>
      <c r="F7" s="23" t="s">
        <v>13</v>
      </c>
      <c r="G7" s="26" t="s">
        <v>14</v>
      </c>
      <c r="H7" s="27"/>
    </row>
    <row r="8" spans="1:8" x14ac:dyDescent="0.2">
      <c r="A8" s="18"/>
      <c r="B8" s="18"/>
      <c r="C8" s="19"/>
      <c r="D8" s="2"/>
      <c r="E8" s="2"/>
      <c r="F8" s="18"/>
      <c r="G8" s="28"/>
      <c r="H8" s="19"/>
    </row>
    <row r="9" spans="1:8" ht="15.75" x14ac:dyDescent="0.2">
      <c r="A9" s="29" t="s">
        <v>15</v>
      </c>
      <c r="B9" s="30"/>
      <c r="C9" s="30"/>
      <c r="D9" s="30"/>
      <c r="E9" s="30"/>
      <c r="F9" s="30"/>
      <c r="G9" s="31"/>
      <c r="H9" s="3"/>
    </row>
    <row r="10" spans="1:8" x14ac:dyDescent="0.2">
      <c r="A10" s="32" t="s">
        <v>16</v>
      </c>
      <c r="B10" s="32" t="s">
        <v>17</v>
      </c>
      <c r="C10" s="32" t="s">
        <v>18</v>
      </c>
      <c r="D10" s="32" t="s">
        <v>19</v>
      </c>
      <c r="E10" s="32" t="s">
        <v>20</v>
      </c>
      <c r="F10" s="32" t="s">
        <v>21</v>
      </c>
      <c r="G10" s="32" t="s">
        <v>22</v>
      </c>
    </row>
    <row r="11" spans="1:8" x14ac:dyDescent="0.2">
      <c r="A11" s="33" t="s">
        <v>23</v>
      </c>
      <c r="B11" s="33" t="s">
        <v>23</v>
      </c>
      <c r="C11" s="33" t="s">
        <v>23</v>
      </c>
      <c r="D11" s="33" t="s">
        <v>23</v>
      </c>
      <c r="E11" s="33" t="s">
        <v>23</v>
      </c>
      <c r="F11" s="33" t="s">
        <v>23</v>
      </c>
      <c r="G11" s="33" t="s">
        <v>23</v>
      </c>
    </row>
    <row r="12" spans="1:8" x14ac:dyDescent="0.2">
      <c r="A12" s="33" t="s">
        <v>23</v>
      </c>
      <c r="B12" s="33" t="s">
        <v>23</v>
      </c>
      <c r="C12" s="33" t="s">
        <v>23</v>
      </c>
      <c r="D12" s="33" t="s">
        <v>23</v>
      </c>
      <c r="E12" s="33" t="s">
        <v>23</v>
      </c>
      <c r="F12" s="33" t="s">
        <v>23</v>
      </c>
      <c r="G12" s="33" t="s">
        <v>23</v>
      </c>
    </row>
    <row r="13" spans="1:8" x14ac:dyDescent="0.2">
      <c r="A13" s="34" t="s">
        <v>23</v>
      </c>
      <c r="B13" s="34" t="s">
        <v>23</v>
      </c>
      <c r="C13" s="34" t="s">
        <v>23</v>
      </c>
      <c r="D13" s="34" t="s">
        <v>23</v>
      </c>
      <c r="E13" s="34" t="s">
        <v>23</v>
      </c>
      <c r="F13" s="34" t="s">
        <v>23</v>
      </c>
      <c r="G13" s="34" t="s">
        <v>23</v>
      </c>
    </row>
    <row r="14" spans="1:8" x14ac:dyDescent="0.2">
      <c r="A14" s="35">
        <v>1</v>
      </c>
      <c r="B14" s="36" t="s">
        <v>24</v>
      </c>
      <c r="C14" s="36" t="s">
        <v>25</v>
      </c>
      <c r="D14" s="36" t="s">
        <v>26</v>
      </c>
      <c r="E14" s="36" t="s">
        <v>27</v>
      </c>
      <c r="F14" s="37">
        <v>44754.551724537036</v>
      </c>
      <c r="G14" s="36" t="s">
        <v>28</v>
      </c>
    </row>
    <row r="15" spans="1:8" x14ac:dyDescent="0.2">
      <c r="A15" s="38">
        <v>2</v>
      </c>
      <c r="B15" s="39" t="s">
        <v>29</v>
      </c>
      <c r="C15" s="39" t="s">
        <v>25</v>
      </c>
      <c r="D15" s="39" t="s">
        <v>26</v>
      </c>
      <c r="E15" s="39" t="s">
        <v>27</v>
      </c>
      <c r="F15" s="40">
        <v>44754.552152777775</v>
      </c>
      <c r="G15" s="39" t="s">
        <v>28</v>
      </c>
    </row>
    <row r="16" spans="1:8" x14ac:dyDescent="0.2">
      <c r="A16" s="35">
        <v>3</v>
      </c>
      <c r="B16" s="36" t="s">
        <v>30</v>
      </c>
      <c r="C16" s="36" t="s">
        <v>25</v>
      </c>
      <c r="D16" s="36" t="s">
        <v>26</v>
      </c>
      <c r="E16" s="36" t="s">
        <v>27</v>
      </c>
      <c r="F16" s="37">
        <v>44754.55263888889</v>
      </c>
      <c r="G16" s="36" t="s">
        <v>28</v>
      </c>
    </row>
    <row r="17" spans="1:7" x14ac:dyDescent="0.2">
      <c r="A17" s="38">
        <v>4</v>
      </c>
      <c r="B17" s="39" t="s">
        <v>31</v>
      </c>
      <c r="C17" s="39" t="s">
        <v>25</v>
      </c>
      <c r="D17" s="39" t="s">
        <v>26</v>
      </c>
      <c r="E17" s="39" t="s">
        <v>27</v>
      </c>
      <c r="F17" s="40">
        <v>44754.553148148145</v>
      </c>
      <c r="G17" s="39" t="s">
        <v>28</v>
      </c>
    </row>
    <row r="18" spans="1:7" x14ac:dyDescent="0.2">
      <c r="A18" s="35">
        <v>5</v>
      </c>
      <c r="B18" s="36" t="s">
        <v>32</v>
      </c>
      <c r="C18" s="36" t="s">
        <v>25</v>
      </c>
      <c r="D18" s="36" t="s">
        <v>26</v>
      </c>
      <c r="E18" s="36" t="s">
        <v>27</v>
      </c>
      <c r="F18" s="37">
        <v>44754.553715277776</v>
      </c>
      <c r="G18" s="36" t="s">
        <v>28</v>
      </c>
    </row>
    <row r="19" spans="1:7" x14ac:dyDescent="0.2">
      <c r="A19" s="38">
        <v>6</v>
      </c>
      <c r="B19" s="39" t="s">
        <v>33</v>
      </c>
      <c r="C19" s="39" t="s">
        <v>25</v>
      </c>
      <c r="D19" s="39" t="s">
        <v>26</v>
      </c>
      <c r="E19" s="39" t="s">
        <v>27</v>
      </c>
      <c r="F19" s="40">
        <v>44754.5543287037</v>
      </c>
      <c r="G19" s="39" t="s">
        <v>28</v>
      </c>
    </row>
    <row r="20" spans="1:7" x14ac:dyDescent="0.2">
      <c r="A20" s="35">
        <v>7</v>
      </c>
      <c r="B20" s="36" t="s">
        <v>34</v>
      </c>
      <c r="C20" s="36" t="s">
        <v>35</v>
      </c>
      <c r="D20" s="36" t="s">
        <v>36</v>
      </c>
      <c r="E20" s="36" t="s">
        <v>23</v>
      </c>
      <c r="F20" s="37">
        <v>44754.554756944446</v>
      </c>
      <c r="G20" s="36" t="s">
        <v>28</v>
      </c>
    </row>
    <row r="21" spans="1:7" x14ac:dyDescent="0.2">
      <c r="A21" s="41"/>
      <c r="B21" s="41"/>
      <c r="C21" s="41"/>
      <c r="D21" s="41"/>
      <c r="E21" s="41"/>
      <c r="F21" s="41"/>
      <c r="G21" s="41"/>
    </row>
  </sheetData>
  <mergeCells count="1">
    <mergeCell ref="A1:G1"/>
  </mergeCells>
  <pageMargins left="0.75" right="0.75" top="1" bottom="1" header="0.5" footer="0.5"/>
  <pageSetup fitToHeight="9" orientation="portrait" r:id="rId1"/>
  <headerFooter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79"/>
  <sheetViews>
    <sheetView showOutlineSymbols="0" zoomScaleNormal="100" zoomScaleSheetLayoutView="100" workbookViewId="0">
      <selection sqref="A1:XFD1048576"/>
    </sheetView>
  </sheetViews>
  <sheetFormatPr defaultColWidth="9.140625" defaultRowHeight="12.75" customHeight="1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4.5703125" customWidth="1"/>
    <col min="9" max="9" width="15.85546875" customWidth="1"/>
  </cols>
  <sheetData>
    <row r="1" spans="1:8" ht="21" x14ac:dyDescent="0.2">
      <c r="A1" s="237" t="s">
        <v>37</v>
      </c>
      <c r="B1" s="238"/>
      <c r="C1" s="238"/>
      <c r="D1" s="238"/>
      <c r="E1" s="238"/>
      <c r="F1" s="238"/>
      <c r="G1" s="238"/>
      <c r="H1" s="239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46286.898611111108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23</v>
      </c>
      <c r="J42" s="58"/>
    </row>
    <row r="43" spans="1:10" ht="12.75" hidden="1" customHeight="1" x14ac:dyDescent="0.2">
      <c r="A43" s="62" t="s">
        <v>45</v>
      </c>
      <c r="B43" s="63" t="s">
        <v>45</v>
      </c>
      <c r="C43" s="64" t="s">
        <v>45</v>
      </c>
      <c r="D43" s="64" t="s">
        <v>45</v>
      </c>
      <c r="E43" s="64" t="s">
        <v>45</v>
      </c>
      <c r="F43" s="64" t="s">
        <v>45</v>
      </c>
      <c r="G43" s="64" t="s">
        <v>45</v>
      </c>
      <c r="H43" s="64" t="s">
        <v>45</v>
      </c>
      <c r="I43" s="64" t="s">
        <v>45</v>
      </c>
      <c r="J43" s="58"/>
    </row>
    <row r="44" spans="1:10" ht="12.75" customHeight="1" x14ac:dyDescent="0.2">
      <c r="A44" s="65">
        <v>32</v>
      </c>
      <c r="B44" s="66" t="s">
        <v>71</v>
      </c>
      <c r="C44" s="67">
        <v>5.3125833333333334</v>
      </c>
      <c r="D44" s="68">
        <v>1400.465884038643</v>
      </c>
      <c r="E44" s="67">
        <v>16741.351115179761</v>
      </c>
      <c r="F44" s="69">
        <v>11.468935462305341</v>
      </c>
      <c r="G44" s="70">
        <v>5.6620449337514076</v>
      </c>
      <c r="H44" s="66" t="s">
        <v>72</v>
      </c>
      <c r="I44" s="66" t="s">
        <v>73</v>
      </c>
    </row>
    <row r="45" spans="1:10" ht="12.75" customHeight="1" x14ac:dyDescent="0.2">
      <c r="A45" s="71">
        <v>55</v>
      </c>
      <c r="B45" s="72" t="s">
        <v>74</v>
      </c>
      <c r="C45" s="73">
        <v>7.6471499999999999</v>
      </c>
      <c r="D45" s="74">
        <v>3054.4018376754834</v>
      </c>
      <c r="E45" s="73">
        <v>28470.190908222718</v>
      </c>
      <c r="F45" s="75">
        <v>25.013631500416011</v>
      </c>
      <c r="G45" s="76">
        <v>9.6288226132880386</v>
      </c>
      <c r="H45" s="72" t="s">
        <v>75</v>
      </c>
      <c r="I45" s="72" t="s">
        <v>76</v>
      </c>
    </row>
    <row r="46" spans="1:10" ht="12.75" customHeight="1" x14ac:dyDescent="0.2">
      <c r="A46" s="71">
        <v>60</v>
      </c>
      <c r="B46" s="72" t="s">
        <v>77</v>
      </c>
      <c r="C46" s="73">
        <v>8.0648499999999999</v>
      </c>
      <c r="D46" s="74">
        <v>14.059366666666392</v>
      </c>
      <c r="E46" s="73">
        <v>602.5626300457759</v>
      </c>
      <c r="F46" s="75">
        <v>0.11513737733895028</v>
      </c>
      <c r="G46" s="76">
        <v>0.20379100009587101</v>
      </c>
      <c r="H46" s="72" t="s">
        <v>23</v>
      </c>
      <c r="I46" s="72" t="s">
        <v>78</v>
      </c>
    </row>
    <row r="47" spans="1:10" ht="12.75" customHeight="1" x14ac:dyDescent="0.2">
      <c r="A47" s="71">
        <v>67</v>
      </c>
      <c r="B47" s="72" t="s">
        <v>79</v>
      </c>
      <c r="C47" s="73">
        <v>8.5111666666666661</v>
      </c>
      <c r="D47" s="74">
        <v>328.20552318239595</v>
      </c>
      <c r="E47" s="73">
        <v>8593.465795745431</v>
      </c>
      <c r="F47" s="75">
        <v>2.687796972887341</v>
      </c>
      <c r="G47" s="76">
        <v>2.9063717221753027</v>
      </c>
      <c r="H47" s="72" t="s">
        <v>23</v>
      </c>
      <c r="I47" s="72" t="s">
        <v>80</v>
      </c>
    </row>
    <row r="48" spans="1:10" ht="12.75" customHeight="1" x14ac:dyDescent="0.2">
      <c r="A48" s="71">
        <v>68</v>
      </c>
      <c r="B48" s="72" t="s">
        <v>81</v>
      </c>
      <c r="C48" s="73">
        <v>8.5512166666666669</v>
      </c>
      <c r="D48" s="74">
        <v>200.74204348427139</v>
      </c>
      <c r="E48" s="73">
        <v>5360.3401006267104</v>
      </c>
      <c r="F48" s="75">
        <v>1.6439511790555505</v>
      </c>
      <c r="G48" s="76">
        <v>1.8129054400166367</v>
      </c>
      <c r="H48" s="72" t="s">
        <v>23</v>
      </c>
      <c r="I48" s="72" t="s">
        <v>80</v>
      </c>
    </row>
    <row r="49" spans="1:9" ht="12.75" customHeight="1" x14ac:dyDescent="0.2">
      <c r="A49" s="71">
        <v>74</v>
      </c>
      <c r="B49" s="72" t="s">
        <v>82</v>
      </c>
      <c r="C49" s="73">
        <v>9.2779166666666661</v>
      </c>
      <c r="D49" s="74">
        <v>133.5808666666706</v>
      </c>
      <c r="E49" s="73">
        <v>4767.9784898050648</v>
      </c>
      <c r="F49" s="75">
        <v>1.0939433486096879</v>
      </c>
      <c r="G49" s="76">
        <v>1.6125644977338842</v>
      </c>
      <c r="H49" s="72" t="s">
        <v>23</v>
      </c>
      <c r="I49" s="72" t="s">
        <v>83</v>
      </c>
    </row>
    <row r="50" spans="1:9" ht="12.75" customHeight="1" x14ac:dyDescent="0.2">
      <c r="A50" s="71">
        <v>79</v>
      </c>
      <c r="B50" s="72" t="s">
        <v>84</v>
      </c>
      <c r="C50" s="73">
        <v>9.7356666666666669</v>
      </c>
      <c r="D50" s="74">
        <v>545.09749999999258</v>
      </c>
      <c r="E50" s="73">
        <v>15421</v>
      </c>
      <c r="F50" s="75">
        <v>4.4640059564574148</v>
      </c>
      <c r="G50" s="76">
        <v>5.215492723535947</v>
      </c>
      <c r="H50" s="72" t="s">
        <v>85</v>
      </c>
      <c r="I50" s="72" t="s">
        <v>86</v>
      </c>
    </row>
    <row r="51" spans="1:9" ht="12.75" customHeight="1" x14ac:dyDescent="0.2">
      <c r="A51" s="71">
        <v>80</v>
      </c>
      <c r="B51" s="72" t="s">
        <v>87</v>
      </c>
      <c r="C51" s="73">
        <v>9.8729999999999993</v>
      </c>
      <c r="D51" s="74">
        <v>858.58745000004103</v>
      </c>
      <c r="E51" s="73">
        <v>33178.95172700793</v>
      </c>
      <c r="F51" s="75">
        <v>7.0312916330377915</v>
      </c>
      <c r="G51" s="76">
        <v>11.221359270265243</v>
      </c>
      <c r="H51" s="72" t="s">
        <v>88</v>
      </c>
      <c r="I51" s="72" t="s">
        <v>89</v>
      </c>
    </row>
    <row r="52" spans="1:9" ht="12.75" customHeight="1" x14ac:dyDescent="0.2">
      <c r="A52" s="71">
        <v>81</v>
      </c>
      <c r="B52" s="72" t="s">
        <v>90</v>
      </c>
      <c r="C52" s="73">
        <v>10.033216666666666</v>
      </c>
      <c r="D52" s="74">
        <v>21.454083333334104</v>
      </c>
      <c r="E52" s="73">
        <v>949.76271186440226</v>
      </c>
      <c r="F52" s="75">
        <v>0.17569545960188498</v>
      </c>
      <c r="G52" s="76">
        <v>0.32121655617758627</v>
      </c>
      <c r="H52" s="72" t="s">
        <v>23</v>
      </c>
      <c r="I52" s="72" t="s">
        <v>91</v>
      </c>
    </row>
    <row r="53" spans="1:9" ht="12.75" customHeight="1" x14ac:dyDescent="0.2">
      <c r="A53" s="71">
        <v>86</v>
      </c>
      <c r="B53" s="72" t="s">
        <v>92</v>
      </c>
      <c r="C53" s="73">
        <v>10.43375</v>
      </c>
      <c r="D53" s="74">
        <v>19.986841666666248</v>
      </c>
      <c r="E53" s="73">
        <v>1051</v>
      </c>
      <c r="F53" s="75">
        <v>0.16367967244533424</v>
      </c>
      <c r="G53" s="76">
        <v>0.35545573260075741</v>
      </c>
      <c r="H53" s="72" t="s">
        <v>23</v>
      </c>
      <c r="I53" s="72" t="s">
        <v>93</v>
      </c>
    </row>
    <row r="54" spans="1:9" ht="12.75" customHeight="1" x14ac:dyDescent="0.2">
      <c r="A54" s="71">
        <v>91</v>
      </c>
      <c r="B54" s="72" t="s">
        <v>94</v>
      </c>
      <c r="C54" s="73">
        <v>10.754183333333334</v>
      </c>
      <c r="D54" s="74">
        <v>53.256016666665602</v>
      </c>
      <c r="E54" s="73">
        <v>2449</v>
      </c>
      <c r="F54" s="75">
        <v>0.43613330755909507</v>
      </c>
      <c r="G54" s="76">
        <v>0.82826935217816833</v>
      </c>
      <c r="H54" s="72" t="s">
        <v>23</v>
      </c>
      <c r="I54" s="72" t="s">
        <v>95</v>
      </c>
    </row>
    <row r="55" spans="1:9" ht="12.75" customHeight="1" x14ac:dyDescent="0.2">
      <c r="A55" s="71">
        <v>95</v>
      </c>
      <c r="B55" s="72" t="s">
        <v>96</v>
      </c>
      <c r="C55" s="73">
        <v>11.051733333333333</v>
      </c>
      <c r="D55" s="74">
        <v>549.95492500002217</v>
      </c>
      <c r="E55" s="73">
        <v>22865</v>
      </c>
      <c r="F55" s="75">
        <v>4.503785214540927</v>
      </c>
      <c r="G55" s="76">
        <v>7.7331068752771825</v>
      </c>
      <c r="H55" s="72" t="s">
        <v>97</v>
      </c>
      <c r="I55" s="72" t="s">
        <v>95</v>
      </c>
    </row>
    <row r="56" spans="1:9" ht="12.75" customHeight="1" x14ac:dyDescent="0.2">
      <c r="A56" s="71">
        <v>96</v>
      </c>
      <c r="B56" s="72" t="s">
        <v>98</v>
      </c>
      <c r="C56" s="73">
        <v>11.114666666666666</v>
      </c>
      <c r="D56" s="74">
        <v>315.46632500000135</v>
      </c>
      <c r="E56" s="73">
        <v>6934</v>
      </c>
      <c r="F56" s="75">
        <v>2.583470945769804</v>
      </c>
      <c r="G56" s="76">
        <v>2.3451284965305921</v>
      </c>
      <c r="H56" s="72" t="s">
        <v>99</v>
      </c>
      <c r="I56" s="72" t="s">
        <v>100</v>
      </c>
    </row>
    <row r="57" spans="1:9" ht="12.75" customHeight="1" x14ac:dyDescent="0.2">
      <c r="A57" s="71">
        <v>97</v>
      </c>
      <c r="B57" s="72" t="s">
        <v>101</v>
      </c>
      <c r="C57" s="73">
        <v>11.286333333333333</v>
      </c>
      <c r="D57" s="74">
        <v>22.664483333333038</v>
      </c>
      <c r="E57" s="73">
        <v>1178</v>
      </c>
      <c r="F57" s="75">
        <v>0.18560787492151376</v>
      </c>
      <c r="G57" s="76">
        <v>0.39840804281987846</v>
      </c>
      <c r="H57" s="72" t="s">
        <v>102</v>
      </c>
      <c r="I57" s="72" t="s">
        <v>103</v>
      </c>
    </row>
    <row r="58" spans="1:9" ht="12.75" customHeight="1" x14ac:dyDescent="0.2">
      <c r="A58" s="71">
        <v>101</v>
      </c>
      <c r="B58" s="72" t="s">
        <v>104</v>
      </c>
      <c r="C58" s="73">
        <v>11.578150000000001</v>
      </c>
      <c r="D58" s="74">
        <v>47.382891666667234</v>
      </c>
      <c r="E58" s="73">
        <v>1686</v>
      </c>
      <c r="F58" s="75">
        <v>0.38803610479626455</v>
      </c>
      <c r="G58" s="76">
        <v>0.5702172836963626</v>
      </c>
      <c r="H58" s="72" t="s">
        <v>23</v>
      </c>
      <c r="I58" s="72" t="s">
        <v>105</v>
      </c>
    </row>
    <row r="59" spans="1:9" ht="12.75" customHeight="1" x14ac:dyDescent="0.2">
      <c r="A59" s="71">
        <v>102</v>
      </c>
      <c r="B59" s="72" t="s">
        <v>106</v>
      </c>
      <c r="C59" s="73">
        <v>11.6983</v>
      </c>
      <c r="D59" s="74">
        <v>147.97685833333148</v>
      </c>
      <c r="E59" s="73">
        <v>5107</v>
      </c>
      <c r="F59" s="75">
        <v>1.2118374731453652</v>
      </c>
      <c r="G59" s="76">
        <v>1.7272240022759926</v>
      </c>
      <c r="H59" s="72" t="s">
        <v>107</v>
      </c>
      <c r="I59" s="72" t="s">
        <v>108</v>
      </c>
    </row>
    <row r="60" spans="1:9" ht="12.75" customHeight="1" x14ac:dyDescent="0.2">
      <c r="A60" s="71">
        <v>103</v>
      </c>
      <c r="B60" s="72" t="s">
        <v>109</v>
      </c>
      <c r="C60" s="73">
        <v>11.869966666666667</v>
      </c>
      <c r="D60" s="74">
        <v>676.22599999999522</v>
      </c>
      <c r="E60" s="73">
        <v>22034</v>
      </c>
      <c r="F60" s="75">
        <v>5.5378659632660057</v>
      </c>
      <c r="G60" s="76">
        <v>7.4520567194339575</v>
      </c>
      <c r="H60" s="72" t="s">
        <v>110</v>
      </c>
      <c r="I60" s="72" t="s">
        <v>111</v>
      </c>
    </row>
    <row r="61" spans="1:9" ht="12.75" customHeight="1" x14ac:dyDescent="0.2">
      <c r="A61" s="71">
        <v>104</v>
      </c>
      <c r="B61" s="72" t="s">
        <v>112</v>
      </c>
      <c r="C61" s="73">
        <v>11.978683333333334</v>
      </c>
      <c r="D61" s="74">
        <v>19.285966666666869</v>
      </c>
      <c r="E61" s="73">
        <v>599</v>
      </c>
      <c r="F61" s="75">
        <v>0.15793994666282862</v>
      </c>
      <c r="G61" s="76">
        <v>0.20258609308073616</v>
      </c>
      <c r="H61" s="72" t="s">
        <v>23</v>
      </c>
      <c r="I61" s="72" t="s">
        <v>113</v>
      </c>
    </row>
    <row r="62" spans="1:9" ht="12.75" customHeight="1" x14ac:dyDescent="0.2">
      <c r="A62" s="71">
        <v>106</v>
      </c>
      <c r="B62" s="72" t="s">
        <v>114</v>
      </c>
      <c r="C62" s="73">
        <v>12.17895</v>
      </c>
      <c r="D62" s="74">
        <v>24.079149999999544</v>
      </c>
      <c r="E62" s="73">
        <v>860</v>
      </c>
      <c r="F62" s="75">
        <v>0.19719310586900687</v>
      </c>
      <c r="G62" s="76">
        <v>0.29085816368853606</v>
      </c>
      <c r="H62" s="72" t="s">
        <v>115</v>
      </c>
      <c r="I62" s="72" t="s">
        <v>116</v>
      </c>
    </row>
    <row r="63" spans="1:9" ht="12.75" customHeight="1" x14ac:dyDescent="0.2">
      <c r="A63" s="71">
        <v>108</v>
      </c>
      <c r="B63" s="72" t="s">
        <v>117</v>
      </c>
      <c r="C63" s="73">
        <v>12.316283333333333</v>
      </c>
      <c r="D63" s="74">
        <v>5.3883416666669861</v>
      </c>
      <c r="E63" s="73">
        <v>333</v>
      </c>
      <c r="F63" s="75">
        <v>4.4127131926727646E-2</v>
      </c>
      <c r="G63" s="76">
        <v>0.11262298663753779</v>
      </c>
      <c r="H63" s="72" t="s">
        <v>23</v>
      </c>
      <c r="I63" s="72" t="s">
        <v>118</v>
      </c>
    </row>
    <row r="64" spans="1:9" ht="12.75" customHeight="1" x14ac:dyDescent="0.2">
      <c r="A64" s="71">
        <v>110</v>
      </c>
      <c r="B64" s="72" t="s">
        <v>119</v>
      </c>
      <c r="C64" s="73">
        <v>12.459333333333333</v>
      </c>
      <c r="D64" s="74">
        <v>14.674766666666471</v>
      </c>
      <c r="E64" s="73">
        <v>552</v>
      </c>
      <c r="F64" s="75">
        <v>0.12017711658854194</v>
      </c>
      <c r="G64" s="76">
        <v>0.1866903562279906</v>
      </c>
      <c r="H64" s="72" t="s">
        <v>23</v>
      </c>
      <c r="I64" s="72" t="s">
        <v>120</v>
      </c>
    </row>
    <row r="65" spans="1:9" ht="12.75" customHeight="1" x14ac:dyDescent="0.2">
      <c r="A65" s="71">
        <v>111</v>
      </c>
      <c r="B65" s="72" t="s">
        <v>119</v>
      </c>
      <c r="C65" s="73">
        <v>12.562333333333333</v>
      </c>
      <c r="D65" s="74">
        <v>3.5193000000001033</v>
      </c>
      <c r="E65" s="73">
        <v>285.46990291261864</v>
      </c>
      <c r="F65" s="75">
        <v>2.8820855282882887E-2</v>
      </c>
      <c r="G65" s="76">
        <v>9.6547967150591774E-2</v>
      </c>
      <c r="H65" s="72" t="s">
        <v>23</v>
      </c>
      <c r="I65" s="72" t="s">
        <v>120</v>
      </c>
    </row>
    <row r="66" spans="1:9" ht="12.75" customHeight="1" x14ac:dyDescent="0.2">
      <c r="A66" s="71">
        <v>114</v>
      </c>
      <c r="B66" s="72" t="s">
        <v>121</v>
      </c>
      <c r="C66" s="73">
        <v>12.722533333333333</v>
      </c>
      <c r="D66" s="74">
        <v>78.213858333333746</v>
      </c>
      <c r="E66" s="73">
        <v>3194.9036522518463</v>
      </c>
      <c r="F66" s="75">
        <v>0.64052234596108581</v>
      </c>
      <c r="G66" s="76">
        <v>1.080539313320662</v>
      </c>
      <c r="H66" s="72" t="s">
        <v>23</v>
      </c>
      <c r="I66" s="72" t="s">
        <v>122</v>
      </c>
    </row>
    <row r="67" spans="1:9" ht="12.75" customHeight="1" x14ac:dyDescent="0.2">
      <c r="A67" s="71">
        <v>116</v>
      </c>
      <c r="B67" s="72" t="s">
        <v>119</v>
      </c>
      <c r="C67" s="73">
        <v>12.877033333333333</v>
      </c>
      <c r="D67" s="74">
        <v>6.483058333333199</v>
      </c>
      <c r="E67" s="73">
        <v>404</v>
      </c>
      <c r="F67" s="75">
        <v>5.3092173447980721E-2</v>
      </c>
      <c r="G67" s="76">
        <v>0.136635695500196</v>
      </c>
      <c r="H67" s="72" t="s">
        <v>23</v>
      </c>
      <c r="I67" s="72" t="s">
        <v>120</v>
      </c>
    </row>
    <row r="68" spans="1:9" ht="12.75" customHeight="1" x14ac:dyDescent="0.2">
      <c r="A68" s="71">
        <v>117</v>
      </c>
      <c r="B68" s="72" t="s">
        <v>123</v>
      </c>
      <c r="C68" s="73">
        <v>12.962866666666667</v>
      </c>
      <c r="D68" s="74">
        <v>10.709333333333035</v>
      </c>
      <c r="E68" s="73">
        <v>411.53693407466216</v>
      </c>
      <c r="F68" s="75">
        <v>8.7702709679804536E-2</v>
      </c>
      <c r="G68" s="76">
        <v>0.13918474062205391</v>
      </c>
      <c r="H68" s="72" t="s">
        <v>23</v>
      </c>
      <c r="I68" s="72" t="s">
        <v>124</v>
      </c>
    </row>
    <row r="69" spans="1:9" ht="12.75" customHeight="1" x14ac:dyDescent="0.2">
      <c r="A69" s="71">
        <v>118</v>
      </c>
      <c r="B69" s="72" t="s">
        <v>119</v>
      </c>
      <c r="C69" s="73">
        <v>13.100183333333334</v>
      </c>
      <c r="D69" s="74">
        <v>36.945866666666724</v>
      </c>
      <c r="E69" s="73">
        <v>766</v>
      </c>
      <c r="F69" s="75">
        <v>0.30256342923327284</v>
      </c>
      <c r="G69" s="76">
        <v>0.25906668998304488</v>
      </c>
      <c r="H69" s="72" t="s">
        <v>23</v>
      </c>
      <c r="I69" s="72" t="s">
        <v>120</v>
      </c>
    </row>
    <row r="70" spans="1:9" ht="12.75" customHeight="1" x14ac:dyDescent="0.2">
      <c r="A70" s="71">
        <v>119</v>
      </c>
      <c r="B70" s="72" t="s">
        <v>117</v>
      </c>
      <c r="C70" s="73">
        <v>13.254683333333334</v>
      </c>
      <c r="D70" s="74">
        <v>9.4773833333336093</v>
      </c>
      <c r="E70" s="73">
        <v>646.99745176556371</v>
      </c>
      <c r="F70" s="75">
        <v>7.7613813403349011E-2</v>
      </c>
      <c r="G70" s="76">
        <v>0.21881917526941169</v>
      </c>
      <c r="H70" s="72" t="s">
        <v>23</v>
      </c>
      <c r="I70" s="72" t="s">
        <v>118</v>
      </c>
    </row>
    <row r="71" spans="1:9" ht="12.75" customHeight="1" x14ac:dyDescent="0.2">
      <c r="A71" s="71">
        <v>122</v>
      </c>
      <c r="B71" s="72" t="s">
        <v>125</v>
      </c>
      <c r="C71" s="73">
        <v>13.489283333333333</v>
      </c>
      <c r="D71" s="74">
        <v>33.323809728397869</v>
      </c>
      <c r="E71" s="73">
        <v>1554.2048137360098</v>
      </c>
      <c r="F71" s="75">
        <v>0.27290105920394725</v>
      </c>
      <c r="G71" s="76">
        <v>0.5256432071152779</v>
      </c>
      <c r="H71" s="72" t="s">
        <v>126</v>
      </c>
      <c r="I71" s="72" t="s">
        <v>127</v>
      </c>
    </row>
    <row r="72" spans="1:9" ht="12.75" customHeight="1" x14ac:dyDescent="0.2">
      <c r="A72" s="71">
        <v>126</v>
      </c>
      <c r="B72" s="72" t="s">
        <v>128</v>
      </c>
      <c r="C72" s="73">
        <v>13.809716666666667</v>
      </c>
      <c r="D72" s="74">
        <v>83.517649999999179</v>
      </c>
      <c r="E72" s="73">
        <v>2741.3388349514557</v>
      </c>
      <c r="F72" s="75">
        <v>0.68395706652356136</v>
      </c>
      <c r="G72" s="76">
        <v>0.92714044137447826</v>
      </c>
      <c r="H72" s="72" t="s">
        <v>129</v>
      </c>
      <c r="I72" s="72" t="s">
        <v>130</v>
      </c>
    </row>
    <row r="73" spans="1:9" ht="12.75" customHeight="1" x14ac:dyDescent="0.2">
      <c r="A73" s="71">
        <v>145</v>
      </c>
      <c r="B73" s="72" t="s">
        <v>131</v>
      </c>
      <c r="C73" s="73">
        <v>15.097166666666666</v>
      </c>
      <c r="D73" s="74">
        <v>27.887300000000756</v>
      </c>
      <c r="E73" s="73">
        <v>1025.0090300029103</v>
      </c>
      <c r="F73" s="75">
        <v>0.22837946112304663</v>
      </c>
      <c r="G73" s="76">
        <v>0.34666540026838844</v>
      </c>
      <c r="H73" s="72" t="s">
        <v>23</v>
      </c>
      <c r="I73" s="72" t="s">
        <v>132</v>
      </c>
    </row>
    <row r="74" spans="1:9" ht="12.75" customHeight="1" x14ac:dyDescent="0.2">
      <c r="A74" s="71">
        <v>147</v>
      </c>
      <c r="B74" s="72" t="s">
        <v>133</v>
      </c>
      <c r="C74" s="73">
        <v>15.25165</v>
      </c>
      <c r="D74" s="74">
        <v>7.6187916666669153</v>
      </c>
      <c r="E74" s="73">
        <v>452.27961165048362</v>
      </c>
      <c r="F74" s="75">
        <v>6.2393115692164582E-2</v>
      </c>
      <c r="G74" s="76">
        <v>0.15296420618421383</v>
      </c>
      <c r="H74" s="72" t="s">
        <v>23</v>
      </c>
      <c r="I74" s="72" t="s">
        <v>134</v>
      </c>
    </row>
    <row r="75" spans="1:9" ht="12.75" customHeight="1" x14ac:dyDescent="0.2">
      <c r="A75" s="71">
        <v>152</v>
      </c>
      <c r="B75" s="72" t="s">
        <v>135</v>
      </c>
      <c r="C75" s="73">
        <v>15.566366666666667</v>
      </c>
      <c r="D75" s="74">
        <v>127.75603333333049</v>
      </c>
      <c r="E75" s="73">
        <v>5055.640889830509</v>
      </c>
      <c r="F75" s="75">
        <v>1.0462416242477117</v>
      </c>
      <c r="G75" s="76">
        <v>1.7098539831218351</v>
      </c>
      <c r="H75" s="72" t="s">
        <v>136</v>
      </c>
      <c r="I75" s="72" t="s">
        <v>137</v>
      </c>
    </row>
    <row r="76" spans="1:9" ht="12.75" customHeight="1" x14ac:dyDescent="0.2">
      <c r="A76" s="71">
        <v>153</v>
      </c>
      <c r="B76" s="72" t="s">
        <v>138</v>
      </c>
      <c r="C76" s="73">
        <v>15.6808</v>
      </c>
      <c r="D76" s="74">
        <v>6.6745250000004575</v>
      </c>
      <c r="E76" s="73">
        <v>897.38737864076688</v>
      </c>
      <c r="F76" s="75">
        <v>5.4660165120049849E-2</v>
      </c>
      <c r="G76" s="76">
        <v>0.30350284310316566</v>
      </c>
      <c r="H76" s="72" t="s">
        <v>23</v>
      </c>
      <c r="I76" s="72" t="s">
        <v>139</v>
      </c>
    </row>
    <row r="77" spans="1:9" ht="12.75" customHeight="1" x14ac:dyDescent="0.2">
      <c r="A77" s="71">
        <v>154</v>
      </c>
      <c r="B77" s="72" t="s">
        <v>140</v>
      </c>
      <c r="C77" s="73">
        <v>15.772350000000001</v>
      </c>
      <c r="D77" s="74">
        <v>327.25906666667834</v>
      </c>
      <c r="E77" s="73">
        <v>10895.016556799013</v>
      </c>
      <c r="F77" s="75">
        <v>2.6800460888277162</v>
      </c>
      <c r="G77" s="76">
        <v>3.6847726849613465</v>
      </c>
      <c r="H77" s="72" t="s">
        <v>141</v>
      </c>
      <c r="I77" s="72" t="s">
        <v>142</v>
      </c>
    </row>
    <row r="78" spans="1:9" ht="12.75" customHeight="1" x14ac:dyDescent="0.2">
      <c r="A78" s="77">
        <v>156</v>
      </c>
      <c r="B78" s="78" t="s">
        <v>143</v>
      </c>
      <c r="C78" s="79">
        <v>15.92685</v>
      </c>
      <c r="D78" s="80">
        <v>15.715275000000233</v>
      </c>
      <c r="E78" s="79">
        <v>706.71161048689214</v>
      </c>
      <c r="F78" s="81">
        <v>0.12869822592723007</v>
      </c>
      <c r="G78" s="82">
        <v>0.23901493172509933</v>
      </c>
      <c r="H78" s="78" t="s">
        <v>144</v>
      </c>
      <c r="I78" s="78" t="s">
        <v>145</v>
      </c>
    </row>
    <row r="79" spans="1:9" ht="16.5" customHeight="1" x14ac:dyDescent="0.2">
      <c r="A79" s="83" t="s">
        <v>146</v>
      </c>
      <c r="B79" s="84"/>
      <c r="C79" s="85"/>
      <c r="D79" s="86">
        <f>SUM(D44:D78)</f>
        <v>9228.0383731092552</v>
      </c>
      <c r="E79" s="86">
        <f>SUM(E44:E78)</f>
        <v>208770.10014560047</v>
      </c>
      <c r="F79" s="86">
        <f>SUM(F44:F78)</f>
        <v>75.571834880875159</v>
      </c>
      <c r="G79" s="86">
        <f>SUM(I44:I78)</f>
        <v>0</v>
      </c>
      <c r="H79" s="87"/>
      <c r="I79" s="41"/>
    </row>
  </sheetData>
  <mergeCells count="1">
    <mergeCell ref="A1:H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
Sequence:forest_4hr.AIA&amp;R&amp;08&amp;"Microsoft Sans Serif"Page &amp;P of &amp;N</oddHeader>
    <oddFooter>&amp;L&amp;08&amp;"Microsoft Sans Serif"Default/&amp;A &amp;R&amp;08&amp;"Microsoft Sans Serif"© 2009-2023 Thermo Fisher Scientific Inc. All rights reserved.
Chromeleon 7.3.2.10759</oddFooter>
    <evenHeader>&amp;L&amp;08&amp;"Microsoft Sans Serif"Instrument:
Sequence:forest_4hr.AIA&amp;R&amp;08&amp;"Microsoft Sans Serif"Page &amp;P of &amp;N</evenHeader>
    <evenFooter>&amp;L&amp;08&amp;"Microsoft Sans Serif"Default/&amp;A &amp;R&amp;08&amp;"Microsoft Sans Serif"© 2009-2023 Thermo Fisher Scientific Inc. All rights reserved.
Chromeleon 7.3.2.10759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08C3-2C4B-4553-B049-DA07391BC05D}">
  <dimension ref="A1:J79"/>
  <sheetViews>
    <sheetView topLeftCell="A37" workbookViewId="0">
      <selection activeCell="A40" sqref="A40:I79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4.5703125" customWidth="1"/>
    <col min="9" max="9" width="15.85546875" customWidth="1"/>
  </cols>
  <sheetData>
    <row r="1" spans="1:8" ht="21" x14ac:dyDescent="0.2">
      <c r="A1" s="237" t="s">
        <v>37</v>
      </c>
      <c r="B1" s="238"/>
      <c r="C1" s="238"/>
      <c r="D1" s="238"/>
      <c r="E1" s="238"/>
      <c r="F1" s="238"/>
      <c r="G1" s="238"/>
      <c r="H1" s="239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46286.898611111108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14" spans="1:8" ht="12.75" customHeight="1" x14ac:dyDescent="0.2"/>
    <row r="15" spans="1:8" ht="12.75" customHeight="1" x14ac:dyDescent="0.2"/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10" ht="12.75" customHeight="1" x14ac:dyDescent="0.2"/>
    <row r="34" spans="1:10" ht="12.75" customHeight="1" x14ac:dyDescent="0.2"/>
    <row r="35" spans="1:10" ht="12.75" customHeight="1" x14ac:dyDescent="0.2"/>
    <row r="36" spans="1:10" ht="12.75" customHeight="1" x14ac:dyDescent="0.2"/>
    <row r="37" spans="1:10" ht="12.75" customHeight="1" x14ac:dyDescent="0.2"/>
    <row r="38" spans="1:10" ht="12.75" customHeight="1" x14ac:dyDescent="0.2"/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23</v>
      </c>
      <c r="J42" s="58"/>
    </row>
    <row r="43" spans="1:10" ht="12.75" hidden="1" customHeight="1" x14ac:dyDescent="0.2">
      <c r="A43" s="62" t="s">
        <v>45</v>
      </c>
      <c r="B43" s="63" t="s">
        <v>45</v>
      </c>
      <c r="C43" s="64" t="s">
        <v>45</v>
      </c>
      <c r="D43" s="64" t="s">
        <v>45</v>
      </c>
      <c r="E43" s="64" t="s">
        <v>45</v>
      </c>
      <c r="F43" s="64" t="s">
        <v>45</v>
      </c>
      <c r="G43" s="64" t="s">
        <v>45</v>
      </c>
      <c r="H43" s="64" t="s">
        <v>45</v>
      </c>
      <c r="I43" s="64" t="s">
        <v>45</v>
      </c>
      <c r="J43" s="58"/>
    </row>
    <row r="44" spans="1:10" ht="12.75" customHeight="1" x14ac:dyDescent="0.2">
      <c r="A44" s="65">
        <v>32</v>
      </c>
      <c r="B44" s="66" t="s">
        <v>71</v>
      </c>
      <c r="C44" s="67">
        <v>5.3125833333333334</v>
      </c>
      <c r="D44" s="68">
        <v>1400.465884038643</v>
      </c>
      <c r="E44" s="67">
        <v>16741.351115179761</v>
      </c>
      <c r="F44" s="69">
        <v>11.468935462305341</v>
      </c>
      <c r="G44" s="70">
        <v>5.6620449337514076</v>
      </c>
      <c r="H44" s="66" t="s">
        <v>72</v>
      </c>
      <c r="I44" s="66" t="s">
        <v>73</v>
      </c>
    </row>
    <row r="45" spans="1:10" ht="12.75" customHeight="1" x14ac:dyDescent="0.2">
      <c r="A45" s="71">
        <v>55</v>
      </c>
      <c r="B45" s="72" t="s">
        <v>74</v>
      </c>
      <c r="C45" s="73">
        <v>7.6471499999999999</v>
      </c>
      <c r="D45" s="74">
        <v>3054.4018376754834</v>
      </c>
      <c r="E45" s="73">
        <v>28470.190908222718</v>
      </c>
      <c r="F45" s="75">
        <v>25.013631500416011</v>
      </c>
      <c r="G45" s="76">
        <v>9.6288226132880386</v>
      </c>
      <c r="H45" s="72" t="s">
        <v>75</v>
      </c>
      <c r="I45" s="72" t="s">
        <v>76</v>
      </c>
    </row>
    <row r="46" spans="1:10" ht="12.75" customHeight="1" x14ac:dyDescent="0.2">
      <c r="A46" s="71">
        <v>60</v>
      </c>
      <c r="B46" s="72" t="s">
        <v>77</v>
      </c>
      <c r="C46" s="73">
        <v>8.0648499999999999</v>
      </c>
      <c r="D46" s="74">
        <v>14.059366666666392</v>
      </c>
      <c r="E46" s="73">
        <v>602.5626300457759</v>
      </c>
      <c r="F46" s="75">
        <v>0.11513737733895028</v>
      </c>
      <c r="G46" s="76">
        <v>0.20379100009587101</v>
      </c>
      <c r="H46" s="72" t="s">
        <v>23</v>
      </c>
      <c r="I46" s="72" t="s">
        <v>78</v>
      </c>
    </row>
    <row r="47" spans="1:10" ht="12.75" customHeight="1" x14ac:dyDescent="0.2">
      <c r="A47" s="71">
        <v>67</v>
      </c>
      <c r="B47" s="72" t="s">
        <v>79</v>
      </c>
      <c r="C47" s="73">
        <v>8.5111666666666661</v>
      </c>
      <c r="D47" s="74">
        <v>328.20552318239595</v>
      </c>
      <c r="E47" s="73">
        <v>8593.465795745431</v>
      </c>
      <c r="F47" s="75">
        <v>2.687796972887341</v>
      </c>
      <c r="G47" s="76">
        <v>2.9063717221753027</v>
      </c>
      <c r="H47" s="72" t="s">
        <v>23</v>
      </c>
      <c r="I47" s="72" t="s">
        <v>80</v>
      </c>
    </row>
    <row r="48" spans="1:10" ht="12.75" customHeight="1" x14ac:dyDescent="0.2">
      <c r="A48" s="71">
        <v>68</v>
      </c>
      <c r="B48" s="72" t="s">
        <v>81</v>
      </c>
      <c r="C48" s="73">
        <v>8.5512166666666669</v>
      </c>
      <c r="D48" s="74">
        <v>200.74204348427139</v>
      </c>
      <c r="E48" s="73">
        <v>5360.3401006267104</v>
      </c>
      <c r="F48" s="75">
        <v>1.6439511790555505</v>
      </c>
      <c r="G48" s="76">
        <v>1.8129054400166367</v>
      </c>
      <c r="H48" s="72" t="s">
        <v>23</v>
      </c>
      <c r="I48" s="72" t="s">
        <v>80</v>
      </c>
    </row>
    <row r="49" spans="1:9" ht="12.75" customHeight="1" x14ac:dyDescent="0.2">
      <c r="A49" s="71">
        <v>74</v>
      </c>
      <c r="B49" s="72" t="s">
        <v>82</v>
      </c>
      <c r="C49" s="73">
        <v>9.2779166666666661</v>
      </c>
      <c r="D49" s="74">
        <v>133.5808666666706</v>
      </c>
      <c r="E49" s="73">
        <v>4767.9784898050648</v>
      </c>
      <c r="F49" s="75">
        <v>1.0939433486096879</v>
      </c>
      <c r="G49" s="76">
        <v>1.6125644977338842</v>
      </c>
      <c r="H49" s="72" t="s">
        <v>23</v>
      </c>
      <c r="I49" s="72" t="s">
        <v>83</v>
      </c>
    </row>
    <row r="50" spans="1:9" ht="12.75" customHeight="1" x14ac:dyDescent="0.2">
      <c r="A50" s="71">
        <v>79</v>
      </c>
      <c r="B50" s="72" t="s">
        <v>84</v>
      </c>
      <c r="C50" s="73">
        <v>9.7356666666666669</v>
      </c>
      <c r="D50" s="74">
        <v>545.09749999999258</v>
      </c>
      <c r="E50" s="73">
        <v>15421</v>
      </c>
      <c r="F50" s="75">
        <v>4.4640059564574148</v>
      </c>
      <c r="G50" s="76">
        <v>5.215492723535947</v>
      </c>
      <c r="H50" s="72" t="s">
        <v>85</v>
      </c>
      <c r="I50" s="72" t="s">
        <v>86</v>
      </c>
    </row>
    <row r="51" spans="1:9" ht="12.75" customHeight="1" x14ac:dyDescent="0.2">
      <c r="A51" s="71">
        <v>80</v>
      </c>
      <c r="B51" s="72" t="s">
        <v>87</v>
      </c>
      <c r="C51" s="73">
        <v>9.8729999999999993</v>
      </c>
      <c r="D51" s="74">
        <v>858.58745000004103</v>
      </c>
      <c r="E51" s="73">
        <v>33178.95172700793</v>
      </c>
      <c r="F51" s="75">
        <v>7.0312916330377915</v>
      </c>
      <c r="G51" s="76">
        <v>11.221359270265243</v>
      </c>
      <c r="H51" s="72" t="s">
        <v>88</v>
      </c>
      <c r="I51" s="72" t="s">
        <v>89</v>
      </c>
    </row>
    <row r="52" spans="1:9" ht="12.75" customHeight="1" x14ac:dyDescent="0.2">
      <c r="A52" s="71">
        <v>81</v>
      </c>
      <c r="B52" s="72" t="s">
        <v>90</v>
      </c>
      <c r="C52" s="73">
        <v>10.033216666666666</v>
      </c>
      <c r="D52" s="74">
        <v>21.454083333334104</v>
      </c>
      <c r="E52" s="73">
        <v>949.76271186440226</v>
      </c>
      <c r="F52" s="75">
        <v>0.17569545960188498</v>
      </c>
      <c r="G52" s="76">
        <v>0.32121655617758627</v>
      </c>
      <c r="H52" s="72" t="s">
        <v>23</v>
      </c>
      <c r="I52" s="72" t="s">
        <v>91</v>
      </c>
    </row>
    <row r="53" spans="1:9" ht="12.75" customHeight="1" x14ac:dyDescent="0.2">
      <c r="A53" s="71">
        <v>86</v>
      </c>
      <c r="B53" s="72" t="s">
        <v>92</v>
      </c>
      <c r="C53" s="73">
        <v>10.43375</v>
      </c>
      <c r="D53" s="74">
        <v>19.986841666666248</v>
      </c>
      <c r="E53" s="73">
        <v>1051</v>
      </c>
      <c r="F53" s="75">
        <v>0.16367967244533424</v>
      </c>
      <c r="G53" s="76">
        <v>0.35545573260075741</v>
      </c>
      <c r="H53" s="72" t="s">
        <v>23</v>
      </c>
      <c r="I53" s="72" t="s">
        <v>93</v>
      </c>
    </row>
    <row r="54" spans="1:9" ht="12.75" customHeight="1" x14ac:dyDescent="0.2">
      <c r="A54" s="71">
        <v>91</v>
      </c>
      <c r="B54" s="72" t="s">
        <v>94</v>
      </c>
      <c r="C54" s="73">
        <v>10.754183333333334</v>
      </c>
      <c r="D54" s="74">
        <v>53.256016666665602</v>
      </c>
      <c r="E54" s="73">
        <v>2449</v>
      </c>
      <c r="F54" s="75">
        <v>0.43613330755909507</v>
      </c>
      <c r="G54" s="76">
        <v>0.82826935217816833</v>
      </c>
      <c r="H54" s="72" t="s">
        <v>23</v>
      </c>
      <c r="I54" s="72" t="s">
        <v>95</v>
      </c>
    </row>
    <row r="55" spans="1:9" ht="12.75" customHeight="1" x14ac:dyDescent="0.2">
      <c r="A55" s="71">
        <v>95</v>
      </c>
      <c r="B55" s="72" t="s">
        <v>96</v>
      </c>
      <c r="C55" s="73">
        <v>11.051733333333333</v>
      </c>
      <c r="D55" s="74">
        <v>549.95492500002217</v>
      </c>
      <c r="E55" s="73">
        <v>22865</v>
      </c>
      <c r="F55" s="75">
        <v>4.503785214540927</v>
      </c>
      <c r="G55" s="76">
        <v>7.7331068752771825</v>
      </c>
      <c r="H55" s="72" t="s">
        <v>97</v>
      </c>
      <c r="I55" s="72" t="s">
        <v>95</v>
      </c>
    </row>
    <row r="56" spans="1:9" ht="12.75" customHeight="1" x14ac:dyDescent="0.2">
      <c r="A56" s="71">
        <v>96</v>
      </c>
      <c r="B56" s="72" t="s">
        <v>98</v>
      </c>
      <c r="C56" s="73">
        <v>11.114666666666666</v>
      </c>
      <c r="D56" s="74">
        <v>315.46632500000135</v>
      </c>
      <c r="E56" s="73">
        <v>6934</v>
      </c>
      <c r="F56" s="75">
        <v>2.583470945769804</v>
      </c>
      <c r="G56" s="76">
        <v>2.3451284965305921</v>
      </c>
      <c r="H56" s="72" t="s">
        <v>99</v>
      </c>
      <c r="I56" s="72" t="s">
        <v>100</v>
      </c>
    </row>
    <row r="57" spans="1:9" ht="12.75" customHeight="1" x14ac:dyDescent="0.2">
      <c r="A57" s="71">
        <v>97</v>
      </c>
      <c r="B57" s="72" t="s">
        <v>101</v>
      </c>
      <c r="C57" s="73">
        <v>11.286333333333333</v>
      </c>
      <c r="D57" s="74">
        <v>22.664483333333038</v>
      </c>
      <c r="E57" s="73">
        <v>1178</v>
      </c>
      <c r="F57" s="75">
        <v>0.18560787492151376</v>
      </c>
      <c r="G57" s="76">
        <v>0.39840804281987846</v>
      </c>
      <c r="H57" s="72" t="s">
        <v>102</v>
      </c>
      <c r="I57" s="72" t="s">
        <v>103</v>
      </c>
    </row>
    <row r="58" spans="1:9" ht="12.75" customHeight="1" x14ac:dyDescent="0.2">
      <c r="A58" s="71">
        <v>101</v>
      </c>
      <c r="B58" s="72" t="s">
        <v>104</v>
      </c>
      <c r="C58" s="73">
        <v>11.578150000000001</v>
      </c>
      <c r="D58" s="74">
        <v>47.382891666667234</v>
      </c>
      <c r="E58" s="73">
        <v>1686</v>
      </c>
      <c r="F58" s="75">
        <v>0.38803610479626455</v>
      </c>
      <c r="G58" s="76">
        <v>0.5702172836963626</v>
      </c>
      <c r="H58" s="72" t="s">
        <v>23</v>
      </c>
      <c r="I58" s="72" t="s">
        <v>105</v>
      </c>
    </row>
    <row r="59" spans="1:9" ht="12.75" customHeight="1" x14ac:dyDescent="0.2">
      <c r="A59" s="71">
        <v>102</v>
      </c>
      <c r="B59" s="72" t="s">
        <v>106</v>
      </c>
      <c r="C59" s="73">
        <v>11.6983</v>
      </c>
      <c r="D59" s="74">
        <v>147.97685833333148</v>
      </c>
      <c r="E59" s="73">
        <v>5107</v>
      </c>
      <c r="F59" s="75">
        <v>1.2118374731453652</v>
      </c>
      <c r="G59" s="76">
        <v>1.7272240022759926</v>
      </c>
      <c r="H59" s="72" t="s">
        <v>107</v>
      </c>
      <c r="I59" s="72" t="s">
        <v>108</v>
      </c>
    </row>
    <row r="60" spans="1:9" ht="12.75" customHeight="1" x14ac:dyDescent="0.2">
      <c r="A60" s="71">
        <v>103</v>
      </c>
      <c r="B60" s="72" t="s">
        <v>109</v>
      </c>
      <c r="C60" s="73">
        <v>11.869966666666667</v>
      </c>
      <c r="D60" s="74">
        <v>676.22599999999522</v>
      </c>
      <c r="E60" s="73">
        <v>22034</v>
      </c>
      <c r="F60" s="75">
        <v>5.5378659632660057</v>
      </c>
      <c r="G60" s="76">
        <v>7.4520567194339575</v>
      </c>
      <c r="H60" s="72" t="s">
        <v>110</v>
      </c>
      <c r="I60" s="72" t="s">
        <v>111</v>
      </c>
    </row>
    <row r="61" spans="1:9" ht="12.75" customHeight="1" x14ac:dyDescent="0.2">
      <c r="A61" s="71">
        <v>104</v>
      </c>
      <c r="B61" s="72" t="s">
        <v>112</v>
      </c>
      <c r="C61" s="73">
        <v>11.978683333333334</v>
      </c>
      <c r="D61" s="74">
        <v>19.285966666666869</v>
      </c>
      <c r="E61" s="73">
        <v>599</v>
      </c>
      <c r="F61" s="75">
        <v>0.15793994666282862</v>
      </c>
      <c r="G61" s="76">
        <v>0.20258609308073616</v>
      </c>
      <c r="H61" s="72" t="s">
        <v>23</v>
      </c>
      <c r="I61" s="72" t="s">
        <v>113</v>
      </c>
    </row>
    <row r="62" spans="1:9" ht="12.75" customHeight="1" x14ac:dyDescent="0.2">
      <c r="A62" s="71">
        <v>106</v>
      </c>
      <c r="B62" s="72" t="s">
        <v>114</v>
      </c>
      <c r="C62" s="73">
        <v>12.17895</v>
      </c>
      <c r="D62" s="74">
        <v>24.079149999999544</v>
      </c>
      <c r="E62" s="73">
        <v>860</v>
      </c>
      <c r="F62" s="75">
        <v>0.19719310586900687</v>
      </c>
      <c r="G62" s="76">
        <v>0.29085816368853606</v>
      </c>
      <c r="H62" s="72" t="s">
        <v>115</v>
      </c>
      <c r="I62" s="72" t="s">
        <v>116</v>
      </c>
    </row>
    <row r="63" spans="1:9" ht="12.75" customHeight="1" x14ac:dyDescent="0.2">
      <c r="A63" s="71">
        <v>108</v>
      </c>
      <c r="B63" s="72" t="s">
        <v>117</v>
      </c>
      <c r="C63" s="73">
        <v>12.316283333333333</v>
      </c>
      <c r="D63" s="74">
        <v>5.3883416666669861</v>
      </c>
      <c r="E63" s="73">
        <v>333</v>
      </c>
      <c r="F63" s="75">
        <v>4.4127131926727646E-2</v>
      </c>
      <c r="G63" s="76">
        <v>0.11262298663753779</v>
      </c>
      <c r="H63" s="72" t="s">
        <v>23</v>
      </c>
      <c r="I63" s="72" t="s">
        <v>118</v>
      </c>
    </row>
    <row r="64" spans="1:9" ht="12.75" customHeight="1" x14ac:dyDescent="0.2">
      <c r="A64" s="71">
        <v>110</v>
      </c>
      <c r="B64" s="72" t="s">
        <v>119</v>
      </c>
      <c r="C64" s="73">
        <v>12.459333333333333</v>
      </c>
      <c r="D64" s="74">
        <v>14.674766666666471</v>
      </c>
      <c r="E64" s="73">
        <v>552</v>
      </c>
      <c r="F64" s="75">
        <v>0.12017711658854194</v>
      </c>
      <c r="G64" s="76">
        <v>0.1866903562279906</v>
      </c>
      <c r="H64" s="72" t="s">
        <v>23</v>
      </c>
      <c r="I64" s="72" t="s">
        <v>120</v>
      </c>
    </row>
    <row r="65" spans="1:9" ht="12.75" customHeight="1" x14ac:dyDescent="0.2">
      <c r="A65" s="71">
        <v>111</v>
      </c>
      <c r="B65" s="72" t="s">
        <v>119</v>
      </c>
      <c r="C65" s="73">
        <v>12.562333333333333</v>
      </c>
      <c r="D65" s="74">
        <v>3.5193000000001033</v>
      </c>
      <c r="E65" s="73">
        <v>285.46990291261864</v>
      </c>
      <c r="F65" s="75">
        <v>2.8820855282882887E-2</v>
      </c>
      <c r="G65" s="76">
        <v>9.6547967150591774E-2</v>
      </c>
      <c r="H65" s="72" t="s">
        <v>23</v>
      </c>
      <c r="I65" s="72" t="s">
        <v>120</v>
      </c>
    </row>
    <row r="66" spans="1:9" ht="12.75" customHeight="1" x14ac:dyDescent="0.2">
      <c r="A66" s="71">
        <v>114</v>
      </c>
      <c r="B66" s="72" t="s">
        <v>121</v>
      </c>
      <c r="C66" s="73">
        <v>12.722533333333333</v>
      </c>
      <c r="D66" s="74">
        <v>78.213858333333746</v>
      </c>
      <c r="E66" s="73">
        <v>3194.9036522518463</v>
      </c>
      <c r="F66" s="75">
        <v>0.64052234596108581</v>
      </c>
      <c r="G66" s="76">
        <v>1.080539313320662</v>
      </c>
      <c r="H66" s="72" t="s">
        <v>23</v>
      </c>
      <c r="I66" s="72" t="s">
        <v>122</v>
      </c>
    </row>
    <row r="67" spans="1:9" ht="12.75" customHeight="1" x14ac:dyDescent="0.2">
      <c r="A67" s="71">
        <v>116</v>
      </c>
      <c r="B67" s="72" t="s">
        <v>119</v>
      </c>
      <c r="C67" s="73">
        <v>12.877033333333333</v>
      </c>
      <c r="D67" s="74">
        <v>6.483058333333199</v>
      </c>
      <c r="E67" s="73">
        <v>404</v>
      </c>
      <c r="F67" s="75">
        <v>5.3092173447980721E-2</v>
      </c>
      <c r="G67" s="76">
        <v>0.136635695500196</v>
      </c>
      <c r="H67" s="72" t="s">
        <v>23</v>
      </c>
      <c r="I67" s="72" t="s">
        <v>120</v>
      </c>
    </row>
    <row r="68" spans="1:9" ht="12.75" customHeight="1" x14ac:dyDescent="0.2">
      <c r="A68" s="71">
        <v>117</v>
      </c>
      <c r="B68" s="72" t="s">
        <v>123</v>
      </c>
      <c r="C68" s="73">
        <v>12.962866666666667</v>
      </c>
      <c r="D68" s="74">
        <v>10.709333333333035</v>
      </c>
      <c r="E68" s="73">
        <v>411.53693407466216</v>
      </c>
      <c r="F68" s="75">
        <v>8.7702709679804536E-2</v>
      </c>
      <c r="G68" s="76">
        <v>0.13918474062205391</v>
      </c>
      <c r="H68" s="72" t="s">
        <v>23</v>
      </c>
      <c r="I68" s="72" t="s">
        <v>124</v>
      </c>
    </row>
    <row r="69" spans="1:9" ht="12.75" customHeight="1" x14ac:dyDescent="0.2">
      <c r="A69" s="71">
        <v>118</v>
      </c>
      <c r="B69" s="72" t="s">
        <v>119</v>
      </c>
      <c r="C69" s="73">
        <v>13.100183333333334</v>
      </c>
      <c r="D69" s="74">
        <v>36.945866666666724</v>
      </c>
      <c r="E69" s="73">
        <v>766</v>
      </c>
      <c r="F69" s="75">
        <v>0.30256342923327284</v>
      </c>
      <c r="G69" s="76">
        <v>0.25906668998304488</v>
      </c>
      <c r="H69" s="72" t="s">
        <v>23</v>
      </c>
      <c r="I69" s="72" t="s">
        <v>120</v>
      </c>
    </row>
    <row r="70" spans="1:9" ht="12.75" customHeight="1" x14ac:dyDescent="0.2">
      <c r="A70" s="71">
        <v>119</v>
      </c>
      <c r="B70" s="72" t="s">
        <v>117</v>
      </c>
      <c r="C70" s="73">
        <v>13.254683333333334</v>
      </c>
      <c r="D70" s="74">
        <v>9.4773833333336093</v>
      </c>
      <c r="E70" s="73">
        <v>646.99745176556371</v>
      </c>
      <c r="F70" s="75">
        <v>7.7613813403349011E-2</v>
      </c>
      <c r="G70" s="76">
        <v>0.21881917526941169</v>
      </c>
      <c r="H70" s="72" t="s">
        <v>23</v>
      </c>
      <c r="I70" s="72" t="s">
        <v>118</v>
      </c>
    </row>
    <row r="71" spans="1:9" ht="12.75" customHeight="1" x14ac:dyDescent="0.2">
      <c r="A71" s="71">
        <v>122</v>
      </c>
      <c r="B71" s="72" t="s">
        <v>125</v>
      </c>
      <c r="C71" s="73">
        <v>13.489283333333333</v>
      </c>
      <c r="D71" s="74">
        <v>33.323809728397869</v>
      </c>
      <c r="E71" s="73">
        <v>1554.2048137360098</v>
      </c>
      <c r="F71" s="75">
        <v>0.27290105920394725</v>
      </c>
      <c r="G71" s="76">
        <v>0.5256432071152779</v>
      </c>
      <c r="H71" s="72" t="s">
        <v>126</v>
      </c>
      <c r="I71" s="72" t="s">
        <v>127</v>
      </c>
    </row>
    <row r="72" spans="1:9" ht="12.75" customHeight="1" x14ac:dyDescent="0.2">
      <c r="A72" s="71">
        <v>126</v>
      </c>
      <c r="B72" s="72" t="s">
        <v>128</v>
      </c>
      <c r="C72" s="73">
        <v>13.809716666666667</v>
      </c>
      <c r="D72" s="74">
        <v>83.517649999999179</v>
      </c>
      <c r="E72" s="73">
        <v>2741.3388349514557</v>
      </c>
      <c r="F72" s="75">
        <v>0.68395706652356136</v>
      </c>
      <c r="G72" s="76">
        <v>0.92714044137447826</v>
      </c>
      <c r="H72" s="72" t="s">
        <v>129</v>
      </c>
      <c r="I72" s="72" t="s">
        <v>130</v>
      </c>
    </row>
    <row r="73" spans="1:9" ht="12.75" customHeight="1" x14ac:dyDescent="0.2">
      <c r="A73" s="71">
        <v>145</v>
      </c>
      <c r="B73" s="72" t="s">
        <v>131</v>
      </c>
      <c r="C73" s="73">
        <v>15.097166666666666</v>
      </c>
      <c r="D73" s="74">
        <v>27.887300000000756</v>
      </c>
      <c r="E73" s="73">
        <v>1025.0090300029103</v>
      </c>
      <c r="F73" s="75">
        <v>0.22837946112304663</v>
      </c>
      <c r="G73" s="76">
        <v>0.34666540026838844</v>
      </c>
      <c r="H73" s="72" t="s">
        <v>23</v>
      </c>
      <c r="I73" s="72" t="s">
        <v>132</v>
      </c>
    </row>
    <row r="74" spans="1:9" ht="12.75" customHeight="1" x14ac:dyDescent="0.2">
      <c r="A74" s="71">
        <v>147</v>
      </c>
      <c r="B74" s="72" t="s">
        <v>133</v>
      </c>
      <c r="C74" s="73">
        <v>15.25165</v>
      </c>
      <c r="D74" s="74">
        <v>7.6187916666669153</v>
      </c>
      <c r="E74" s="73">
        <v>452.27961165048362</v>
      </c>
      <c r="F74" s="75">
        <v>6.2393115692164582E-2</v>
      </c>
      <c r="G74" s="76">
        <v>0.15296420618421383</v>
      </c>
      <c r="H74" s="72" t="s">
        <v>23</v>
      </c>
      <c r="I74" s="72" t="s">
        <v>134</v>
      </c>
    </row>
    <row r="75" spans="1:9" ht="12.75" customHeight="1" x14ac:dyDescent="0.2">
      <c r="A75" s="71">
        <v>152</v>
      </c>
      <c r="B75" s="72" t="s">
        <v>135</v>
      </c>
      <c r="C75" s="73">
        <v>15.566366666666667</v>
      </c>
      <c r="D75" s="74">
        <v>127.75603333333049</v>
      </c>
      <c r="E75" s="73">
        <v>5055.640889830509</v>
      </c>
      <c r="F75" s="75">
        <v>1.0462416242477117</v>
      </c>
      <c r="G75" s="76">
        <v>1.7098539831218351</v>
      </c>
      <c r="H75" s="72" t="s">
        <v>136</v>
      </c>
      <c r="I75" s="72" t="s">
        <v>137</v>
      </c>
    </row>
    <row r="76" spans="1:9" ht="12.75" customHeight="1" x14ac:dyDescent="0.2">
      <c r="A76" s="71">
        <v>153</v>
      </c>
      <c r="B76" s="72" t="s">
        <v>138</v>
      </c>
      <c r="C76" s="73">
        <v>15.6808</v>
      </c>
      <c r="D76" s="74">
        <v>6.6745250000004575</v>
      </c>
      <c r="E76" s="73">
        <v>897.38737864076688</v>
      </c>
      <c r="F76" s="75">
        <v>5.4660165120049849E-2</v>
      </c>
      <c r="G76" s="76">
        <v>0.30350284310316566</v>
      </c>
      <c r="H76" s="72" t="s">
        <v>23</v>
      </c>
      <c r="I76" s="72" t="s">
        <v>139</v>
      </c>
    </row>
    <row r="77" spans="1:9" ht="12.75" customHeight="1" x14ac:dyDescent="0.2">
      <c r="A77" s="71">
        <v>154</v>
      </c>
      <c r="B77" s="72" t="s">
        <v>140</v>
      </c>
      <c r="C77" s="73">
        <v>15.772350000000001</v>
      </c>
      <c r="D77" s="74">
        <v>327.25906666667834</v>
      </c>
      <c r="E77" s="73">
        <v>10895.016556799013</v>
      </c>
      <c r="F77" s="75">
        <v>2.6800460888277162</v>
      </c>
      <c r="G77" s="76">
        <v>3.6847726849613465</v>
      </c>
      <c r="H77" s="72" t="s">
        <v>141</v>
      </c>
      <c r="I77" s="72" t="s">
        <v>142</v>
      </c>
    </row>
    <row r="78" spans="1:9" ht="12.75" customHeight="1" x14ac:dyDescent="0.2">
      <c r="A78" s="77">
        <v>156</v>
      </c>
      <c r="B78" s="78" t="s">
        <v>143</v>
      </c>
      <c r="C78" s="79">
        <v>15.92685</v>
      </c>
      <c r="D78" s="80">
        <v>15.715275000000233</v>
      </c>
      <c r="E78" s="79">
        <v>706.71161048689214</v>
      </c>
      <c r="F78" s="81">
        <v>0.12869822592723007</v>
      </c>
      <c r="G78" s="82">
        <v>0.23901493172509933</v>
      </c>
      <c r="H78" s="78" t="s">
        <v>144</v>
      </c>
      <c r="I78" s="78" t="s">
        <v>145</v>
      </c>
    </row>
    <row r="79" spans="1:9" ht="16.5" customHeight="1" x14ac:dyDescent="0.2">
      <c r="A79" s="83" t="s">
        <v>146</v>
      </c>
      <c r="B79" s="84"/>
      <c r="C79" s="85"/>
      <c r="D79" s="86">
        <f>SUM(D44:D78)</f>
        <v>9228.0383731092552</v>
      </c>
      <c r="E79" s="86">
        <f>SUM(E44:E78)</f>
        <v>208770.10014560047</v>
      </c>
      <c r="F79" s="86">
        <f>SUM(F44:F78)</f>
        <v>75.571834880875159</v>
      </c>
      <c r="G79" s="86">
        <f>SUM(I44:I78)</f>
        <v>0</v>
      </c>
      <c r="H79" s="87"/>
      <c r="I79" s="41"/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02BC-06BA-414B-A004-3FC17376D829}">
  <dimension ref="A1:I37"/>
  <sheetViews>
    <sheetView tabSelected="1" workbookViewId="0">
      <selection activeCell="R22" sqref="R22"/>
    </sheetView>
  </sheetViews>
  <sheetFormatPr defaultRowHeight="12.75" x14ac:dyDescent="0.2"/>
  <sheetData>
    <row r="1" spans="1:9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  <row r="2" spans="1:9" x14ac:dyDescent="0.2">
      <c r="A2">
        <v>32</v>
      </c>
      <c r="B2" t="s">
        <v>71</v>
      </c>
      <c r="C2">
        <v>5.3125833333333334</v>
      </c>
      <c r="D2">
        <v>1400.465884038643</v>
      </c>
      <c r="E2">
        <v>16741.351115179761</v>
      </c>
      <c r="F2">
        <v>11.468935462305341</v>
      </c>
      <c r="G2">
        <v>5.6620449337514076</v>
      </c>
      <c r="H2" t="s">
        <v>72</v>
      </c>
      <c r="I2" t="s">
        <v>73</v>
      </c>
    </row>
    <row r="3" spans="1:9" x14ac:dyDescent="0.2">
      <c r="A3">
        <v>55</v>
      </c>
      <c r="B3" t="s">
        <v>74</v>
      </c>
      <c r="C3">
        <v>7.6471499999999999</v>
      </c>
      <c r="D3">
        <v>3054.4018376754834</v>
      </c>
      <c r="E3">
        <v>28470.190908222718</v>
      </c>
      <c r="F3">
        <v>25.013631500416011</v>
      </c>
      <c r="G3">
        <v>9.6288226132880386</v>
      </c>
      <c r="H3" t="s">
        <v>75</v>
      </c>
      <c r="I3" t="s">
        <v>76</v>
      </c>
    </row>
    <row r="4" spans="1:9" x14ac:dyDescent="0.2">
      <c r="A4">
        <v>60</v>
      </c>
      <c r="B4" t="s">
        <v>77</v>
      </c>
      <c r="C4">
        <v>8.0648499999999999</v>
      </c>
      <c r="D4">
        <v>14.059366666666392</v>
      </c>
      <c r="E4">
        <v>602.5626300457759</v>
      </c>
      <c r="F4">
        <v>0.11513737733895028</v>
      </c>
      <c r="G4">
        <v>0.20379100009587101</v>
      </c>
      <c r="H4" t="s">
        <v>23</v>
      </c>
      <c r="I4" t="s">
        <v>78</v>
      </c>
    </row>
    <row r="5" spans="1:9" x14ac:dyDescent="0.2">
      <c r="A5">
        <v>67</v>
      </c>
      <c r="B5" t="s">
        <v>79</v>
      </c>
      <c r="C5">
        <v>8.5111666666666661</v>
      </c>
      <c r="D5">
        <v>328.20552318239595</v>
      </c>
      <c r="E5">
        <v>8593.465795745431</v>
      </c>
      <c r="F5">
        <v>2.687796972887341</v>
      </c>
      <c r="G5">
        <v>2.9063717221753027</v>
      </c>
      <c r="H5" t="s">
        <v>23</v>
      </c>
      <c r="I5" t="s">
        <v>80</v>
      </c>
    </row>
    <row r="6" spans="1:9" x14ac:dyDescent="0.2">
      <c r="A6">
        <v>68</v>
      </c>
      <c r="B6" t="s">
        <v>81</v>
      </c>
      <c r="C6">
        <v>8.5512166666666669</v>
      </c>
      <c r="D6">
        <v>200.74204348427139</v>
      </c>
      <c r="E6">
        <v>5360.3401006267104</v>
      </c>
      <c r="F6">
        <v>1.6439511790555505</v>
      </c>
      <c r="G6">
        <v>1.8129054400166367</v>
      </c>
      <c r="H6" t="s">
        <v>23</v>
      </c>
      <c r="I6" t="s">
        <v>80</v>
      </c>
    </row>
    <row r="7" spans="1:9" x14ac:dyDescent="0.2">
      <c r="A7">
        <v>74</v>
      </c>
      <c r="B7" t="s">
        <v>82</v>
      </c>
      <c r="C7">
        <v>9.2779166666666661</v>
      </c>
      <c r="D7">
        <v>133.5808666666706</v>
      </c>
      <c r="E7">
        <v>4767.9784898050648</v>
      </c>
      <c r="F7">
        <v>1.0939433486096879</v>
      </c>
      <c r="G7">
        <v>1.6125644977338842</v>
      </c>
      <c r="H7" t="s">
        <v>23</v>
      </c>
      <c r="I7" t="s">
        <v>83</v>
      </c>
    </row>
    <row r="8" spans="1:9" x14ac:dyDescent="0.2">
      <c r="A8">
        <v>79</v>
      </c>
      <c r="B8" t="s">
        <v>84</v>
      </c>
      <c r="C8">
        <v>9.7356666666666669</v>
      </c>
      <c r="D8">
        <v>545.09749999999258</v>
      </c>
      <c r="E8">
        <v>15421</v>
      </c>
      <c r="F8">
        <v>4.4640059564574148</v>
      </c>
      <c r="G8">
        <v>5.215492723535947</v>
      </c>
      <c r="H8" t="s">
        <v>85</v>
      </c>
      <c r="I8" t="s">
        <v>86</v>
      </c>
    </row>
    <row r="9" spans="1:9" x14ac:dyDescent="0.2">
      <c r="A9">
        <v>80</v>
      </c>
      <c r="B9" t="s">
        <v>87</v>
      </c>
      <c r="C9">
        <v>9.8729999999999993</v>
      </c>
      <c r="D9">
        <v>858.58745000004103</v>
      </c>
      <c r="E9">
        <v>33178.95172700793</v>
      </c>
      <c r="F9">
        <v>7.0312916330377915</v>
      </c>
      <c r="G9">
        <v>11.221359270265243</v>
      </c>
      <c r="H9" t="s">
        <v>88</v>
      </c>
      <c r="I9" t="s">
        <v>89</v>
      </c>
    </row>
    <row r="10" spans="1:9" x14ac:dyDescent="0.2">
      <c r="A10">
        <v>81</v>
      </c>
      <c r="B10" t="s">
        <v>90</v>
      </c>
      <c r="C10">
        <v>10.033216666666666</v>
      </c>
      <c r="D10">
        <v>21.454083333334104</v>
      </c>
      <c r="E10">
        <v>949.76271186440226</v>
      </c>
      <c r="F10">
        <v>0.17569545960188498</v>
      </c>
      <c r="G10">
        <v>0.32121655617758627</v>
      </c>
      <c r="H10" t="s">
        <v>23</v>
      </c>
      <c r="I10" t="s">
        <v>91</v>
      </c>
    </row>
    <row r="11" spans="1:9" x14ac:dyDescent="0.2">
      <c r="A11">
        <v>86</v>
      </c>
      <c r="B11" t="s">
        <v>92</v>
      </c>
      <c r="C11">
        <v>10.43375</v>
      </c>
      <c r="D11">
        <v>19.986841666666248</v>
      </c>
      <c r="E11">
        <v>1051</v>
      </c>
      <c r="F11">
        <v>0.16367967244533424</v>
      </c>
      <c r="G11">
        <v>0.35545573260075741</v>
      </c>
      <c r="H11" t="s">
        <v>23</v>
      </c>
      <c r="I11" t="s">
        <v>93</v>
      </c>
    </row>
    <row r="12" spans="1:9" x14ac:dyDescent="0.2">
      <c r="A12">
        <v>91</v>
      </c>
      <c r="B12" t="s">
        <v>94</v>
      </c>
      <c r="C12">
        <v>10.754183333333334</v>
      </c>
      <c r="D12">
        <v>53.256016666665602</v>
      </c>
      <c r="E12">
        <v>2449</v>
      </c>
      <c r="F12">
        <v>0.43613330755909507</v>
      </c>
      <c r="G12">
        <v>0.82826935217816833</v>
      </c>
      <c r="H12" t="s">
        <v>23</v>
      </c>
      <c r="I12" t="s">
        <v>95</v>
      </c>
    </row>
    <row r="13" spans="1:9" x14ac:dyDescent="0.2">
      <c r="A13">
        <v>95</v>
      </c>
      <c r="B13" t="s">
        <v>96</v>
      </c>
      <c r="C13">
        <v>11.051733333333333</v>
      </c>
      <c r="D13">
        <v>549.95492500002217</v>
      </c>
      <c r="E13">
        <v>22865</v>
      </c>
      <c r="F13">
        <v>4.503785214540927</v>
      </c>
      <c r="G13">
        <v>7.7331068752771825</v>
      </c>
      <c r="H13" t="s">
        <v>97</v>
      </c>
      <c r="I13" t="s">
        <v>95</v>
      </c>
    </row>
    <row r="14" spans="1:9" x14ac:dyDescent="0.2">
      <c r="A14">
        <v>96</v>
      </c>
      <c r="B14" t="s">
        <v>98</v>
      </c>
      <c r="C14">
        <v>11.114666666666666</v>
      </c>
      <c r="D14">
        <v>315.46632500000135</v>
      </c>
      <c r="E14">
        <v>6934</v>
      </c>
      <c r="F14">
        <v>2.583470945769804</v>
      </c>
      <c r="G14">
        <v>2.3451284965305921</v>
      </c>
      <c r="H14" t="s">
        <v>99</v>
      </c>
      <c r="I14" t="s">
        <v>100</v>
      </c>
    </row>
    <row r="15" spans="1:9" x14ac:dyDescent="0.2">
      <c r="A15">
        <v>97</v>
      </c>
      <c r="B15" t="s">
        <v>101</v>
      </c>
      <c r="C15">
        <v>11.286333333333333</v>
      </c>
      <c r="D15">
        <v>22.664483333333038</v>
      </c>
      <c r="E15">
        <v>1178</v>
      </c>
      <c r="F15">
        <v>0.18560787492151376</v>
      </c>
      <c r="G15">
        <v>0.39840804281987846</v>
      </c>
      <c r="H15" t="s">
        <v>102</v>
      </c>
      <c r="I15" t="s">
        <v>103</v>
      </c>
    </row>
    <row r="16" spans="1:9" x14ac:dyDescent="0.2">
      <c r="A16">
        <v>101</v>
      </c>
      <c r="B16" t="s">
        <v>104</v>
      </c>
      <c r="C16">
        <v>11.578150000000001</v>
      </c>
      <c r="D16">
        <v>47.382891666667234</v>
      </c>
      <c r="E16">
        <v>1686</v>
      </c>
      <c r="F16">
        <v>0.38803610479626455</v>
      </c>
      <c r="G16">
        <v>0.5702172836963626</v>
      </c>
      <c r="H16" t="s">
        <v>23</v>
      </c>
      <c r="I16" t="s">
        <v>105</v>
      </c>
    </row>
    <row r="17" spans="1:9" x14ac:dyDescent="0.2">
      <c r="A17">
        <v>102</v>
      </c>
      <c r="B17" t="s">
        <v>106</v>
      </c>
      <c r="C17">
        <v>11.6983</v>
      </c>
      <c r="D17">
        <v>147.97685833333148</v>
      </c>
      <c r="E17">
        <v>5107</v>
      </c>
      <c r="F17">
        <v>1.2118374731453652</v>
      </c>
      <c r="G17">
        <v>1.7272240022759926</v>
      </c>
      <c r="H17" t="s">
        <v>107</v>
      </c>
      <c r="I17" t="s">
        <v>108</v>
      </c>
    </row>
    <row r="18" spans="1:9" x14ac:dyDescent="0.2">
      <c r="A18">
        <v>103</v>
      </c>
      <c r="B18" t="s">
        <v>109</v>
      </c>
      <c r="C18">
        <v>11.869966666666667</v>
      </c>
      <c r="D18">
        <v>676.22599999999522</v>
      </c>
      <c r="E18">
        <v>22034</v>
      </c>
      <c r="F18">
        <v>5.5378659632660057</v>
      </c>
      <c r="G18">
        <v>7.4520567194339575</v>
      </c>
      <c r="H18" t="s">
        <v>110</v>
      </c>
      <c r="I18" t="s">
        <v>111</v>
      </c>
    </row>
    <row r="19" spans="1:9" x14ac:dyDescent="0.2">
      <c r="A19">
        <v>104</v>
      </c>
      <c r="B19" t="s">
        <v>112</v>
      </c>
      <c r="C19">
        <v>11.978683333333334</v>
      </c>
      <c r="D19">
        <v>19.285966666666869</v>
      </c>
      <c r="E19">
        <v>599</v>
      </c>
      <c r="F19">
        <v>0.15793994666282862</v>
      </c>
      <c r="G19">
        <v>0.20258609308073616</v>
      </c>
      <c r="H19" t="s">
        <v>23</v>
      </c>
      <c r="I19" t="s">
        <v>113</v>
      </c>
    </row>
    <row r="20" spans="1:9" x14ac:dyDescent="0.2">
      <c r="A20">
        <v>106</v>
      </c>
      <c r="B20" t="s">
        <v>114</v>
      </c>
      <c r="C20">
        <v>12.17895</v>
      </c>
      <c r="D20">
        <v>24.079149999999544</v>
      </c>
      <c r="E20">
        <v>860</v>
      </c>
      <c r="F20">
        <v>0.19719310586900687</v>
      </c>
      <c r="G20">
        <v>0.29085816368853606</v>
      </c>
      <c r="H20" t="s">
        <v>115</v>
      </c>
      <c r="I20" t="s">
        <v>116</v>
      </c>
    </row>
    <row r="21" spans="1:9" x14ac:dyDescent="0.2">
      <c r="A21">
        <v>108</v>
      </c>
      <c r="B21" t="s">
        <v>117</v>
      </c>
      <c r="C21">
        <v>12.316283333333333</v>
      </c>
      <c r="D21">
        <v>5.3883416666669861</v>
      </c>
      <c r="E21">
        <v>333</v>
      </c>
      <c r="F21">
        <v>4.4127131926727646E-2</v>
      </c>
      <c r="G21">
        <v>0.11262298663753779</v>
      </c>
      <c r="H21" t="s">
        <v>23</v>
      </c>
      <c r="I21" t="s">
        <v>118</v>
      </c>
    </row>
    <row r="22" spans="1:9" x14ac:dyDescent="0.2">
      <c r="A22">
        <v>110</v>
      </c>
      <c r="B22" t="s">
        <v>119</v>
      </c>
      <c r="C22">
        <v>12.459333333333333</v>
      </c>
      <c r="D22">
        <v>14.674766666666471</v>
      </c>
      <c r="E22">
        <v>552</v>
      </c>
      <c r="F22">
        <v>0.12017711658854194</v>
      </c>
      <c r="G22">
        <v>0.1866903562279906</v>
      </c>
      <c r="H22" t="s">
        <v>23</v>
      </c>
      <c r="I22" t="s">
        <v>120</v>
      </c>
    </row>
    <row r="23" spans="1:9" x14ac:dyDescent="0.2">
      <c r="A23">
        <v>111</v>
      </c>
      <c r="B23" t="s">
        <v>119</v>
      </c>
      <c r="C23">
        <v>12.562333333333333</v>
      </c>
      <c r="D23">
        <v>3.5193000000001033</v>
      </c>
      <c r="E23">
        <v>285.46990291261864</v>
      </c>
      <c r="F23">
        <v>2.8820855282882887E-2</v>
      </c>
      <c r="G23">
        <v>9.6547967150591774E-2</v>
      </c>
      <c r="H23" t="s">
        <v>23</v>
      </c>
      <c r="I23" t="s">
        <v>120</v>
      </c>
    </row>
    <row r="24" spans="1:9" x14ac:dyDescent="0.2">
      <c r="A24">
        <v>114</v>
      </c>
      <c r="B24" t="s">
        <v>121</v>
      </c>
      <c r="C24">
        <v>12.722533333333333</v>
      </c>
      <c r="D24">
        <v>78.213858333333746</v>
      </c>
      <c r="E24">
        <v>3194.9036522518463</v>
      </c>
      <c r="F24">
        <v>0.64052234596108581</v>
      </c>
      <c r="G24">
        <v>1.080539313320662</v>
      </c>
      <c r="H24" t="s">
        <v>23</v>
      </c>
      <c r="I24" t="s">
        <v>122</v>
      </c>
    </row>
    <row r="25" spans="1:9" x14ac:dyDescent="0.2">
      <c r="A25">
        <v>116</v>
      </c>
      <c r="B25" t="s">
        <v>119</v>
      </c>
      <c r="C25">
        <v>12.877033333333333</v>
      </c>
      <c r="D25">
        <v>6.483058333333199</v>
      </c>
      <c r="E25">
        <v>404</v>
      </c>
      <c r="F25">
        <v>5.3092173447980721E-2</v>
      </c>
      <c r="G25">
        <v>0.136635695500196</v>
      </c>
      <c r="H25" t="s">
        <v>23</v>
      </c>
      <c r="I25" t="s">
        <v>120</v>
      </c>
    </row>
    <row r="26" spans="1:9" x14ac:dyDescent="0.2">
      <c r="A26">
        <v>117</v>
      </c>
      <c r="B26" t="s">
        <v>123</v>
      </c>
      <c r="C26">
        <v>12.962866666666667</v>
      </c>
      <c r="D26">
        <v>10.709333333333035</v>
      </c>
      <c r="E26">
        <v>411.53693407466216</v>
      </c>
      <c r="F26">
        <v>8.7702709679804536E-2</v>
      </c>
      <c r="G26">
        <v>0.13918474062205391</v>
      </c>
      <c r="H26" t="s">
        <v>23</v>
      </c>
      <c r="I26" t="s">
        <v>124</v>
      </c>
    </row>
    <row r="27" spans="1:9" x14ac:dyDescent="0.2">
      <c r="A27">
        <v>118</v>
      </c>
      <c r="B27" t="s">
        <v>119</v>
      </c>
      <c r="C27">
        <v>13.100183333333334</v>
      </c>
      <c r="D27">
        <v>36.945866666666724</v>
      </c>
      <c r="E27">
        <v>766</v>
      </c>
      <c r="F27">
        <v>0.30256342923327284</v>
      </c>
      <c r="G27">
        <v>0.25906668998304488</v>
      </c>
      <c r="H27" t="s">
        <v>23</v>
      </c>
      <c r="I27" t="s">
        <v>120</v>
      </c>
    </row>
    <row r="28" spans="1:9" x14ac:dyDescent="0.2">
      <c r="A28">
        <v>119</v>
      </c>
      <c r="B28" t="s">
        <v>117</v>
      </c>
      <c r="C28">
        <v>13.254683333333334</v>
      </c>
      <c r="D28">
        <v>9.4773833333336093</v>
      </c>
      <c r="E28">
        <v>646.99745176556371</v>
      </c>
      <c r="F28">
        <v>7.7613813403349011E-2</v>
      </c>
      <c r="G28">
        <v>0.21881917526941169</v>
      </c>
      <c r="H28" t="s">
        <v>23</v>
      </c>
      <c r="I28" t="s">
        <v>118</v>
      </c>
    </row>
    <row r="29" spans="1:9" x14ac:dyDescent="0.2">
      <c r="A29">
        <v>122</v>
      </c>
      <c r="B29" t="s">
        <v>125</v>
      </c>
      <c r="C29">
        <v>13.489283333333333</v>
      </c>
      <c r="D29">
        <v>33.323809728397869</v>
      </c>
      <c r="E29">
        <v>1554.2048137360098</v>
      </c>
      <c r="F29">
        <v>0.27290105920394725</v>
      </c>
      <c r="G29">
        <v>0.5256432071152779</v>
      </c>
      <c r="H29" t="s">
        <v>126</v>
      </c>
      <c r="I29" t="s">
        <v>127</v>
      </c>
    </row>
    <row r="30" spans="1:9" x14ac:dyDescent="0.2">
      <c r="A30">
        <v>126</v>
      </c>
      <c r="B30" t="s">
        <v>128</v>
      </c>
      <c r="C30">
        <v>13.809716666666667</v>
      </c>
      <c r="D30">
        <v>83.517649999999179</v>
      </c>
      <c r="E30">
        <v>2741.3388349514557</v>
      </c>
      <c r="F30">
        <v>0.68395706652356136</v>
      </c>
      <c r="G30">
        <v>0.92714044137447826</v>
      </c>
      <c r="H30" t="s">
        <v>129</v>
      </c>
      <c r="I30" t="s">
        <v>130</v>
      </c>
    </row>
    <row r="31" spans="1:9" x14ac:dyDescent="0.2">
      <c r="A31">
        <v>145</v>
      </c>
      <c r="B31" t="s">
        <v>131</v>
      </c>
      <c r="C31">
        <v>15.097166666666666</v>
      </c>
      <c r="D31">
        <v>27.887300000000756</v>
      </c>
      <c r="E31">
        <v>1025.0090300029103</v>
      </c>
      <c r="F31">
        <v>0.22837946112304663</v>
      </c>
      <c r="G31">
        <v>0.34666540026838844</v>
      </c>
      <c r="H31" t="s">
        <v>23</v>
      </c>
      <c r="I31" t="s">
        <v>132</v>
      </c>
    </row>
    <row r="32" spans="1:9" x14ac:dyDescent="0.2">
      <c r="A32">
        <v>147</v>
      </c>
      <c r="B32" t="s">
        <v>133</v>
      </c>
      <c r="C32">
        <v>15.25165</v>
      </c>
      <c r="D32">
        <v>7.6187916666669153</v>
      </c>
      <c r="E32">
        <v>452.27961165048362</v>
      </c>
      <c r="F32">
        <v>6.2393115692164582E-2</v>
      </c>
      <c r="G32">
        <v>0.15296420618421383</v>
      </c>
      <c r="H32" t="s">
        <v>23</v>
      </c>
      <c r="I32" t="s">
        <v>134</v>
      </c>
    </row>
    <row r="33" spans="1:9" x14ac:dyDescent="0.2">
      <c r="A33">
        <v>152</v>
      </c>
      <c r="B33" t="s">
        <v>135</v>
      </c>
      <c r="C33">
        <v>15.566366666666667</v>
      </c>
      <c r="D33">
        <v>127.75603333333049</v>
      </c>
      <c r="E33">
        <v>5055.640889830509</v>
      </c>
      <c r="F33">
        <v>1.0462416242477117</v>
      </c>
      <c r="G33">
        <v>1.7098539831218351</v>
      </c>
      <c r="H33" t="s">
        <v>136</v>
      </c>
      <c r="I33" t="s">
        <v>137</v>
      </c>
    </row>
    <row r="34" spans="1:9" x14ac:dyDescent="0.2">
      <c r="A34">
        <v>153</v>
      </c>
      <c r="B34" t="s">
        <v>138</v>
      </c>
      <c r="C34">
        <v>15.6808</v>
      </c>
      <c r="D34">
        <v>6.6745250000004575</v>
      </c>
      <c r="E34">
        <v>897.38737864076688</v>
      </c>
      <c r="F34">
        <v>5.4660165120049849E-2</v>
      </c>
      <c r="G34">
        <v>0.30350284310316566</v>
      </c>
      <c r="H34" t="s">
        <v>23</v>
      </c>
      <c r="I34" t="s">
        <v>139</v>
      </c>
    </row>
    <row r="35" spans="1:9" x14ac:dyDescent="0.2">
      <c r="A35">
        <v>154</v>
      </c>
      <c r="B35" t="s">
        <v>140</v>
      </c>
      <c r="C35">
        <v>15.772350000000001</v>
      </c>
      <c r="D35">
        <v>327.25906666667834</v>
      </c>
      <c r="E35">
        <v>10895.016556799013</v>
      </c>
      <c r="F35">
        <v>2.6800460888277162</v>
      </c>
      <c r="G35">
        <v>3.6847726849613465</v>
      </c>
      <c r="H35" t="s">
        <v>141</v>
      </c>
      <c r="I35" t="s">
        <v>142</v>
      </c>
    </row>
    <row r="36" spans="1:9" x14ac:dyDescent="0.2">
      <c r="A36">
        <v>156</v>
      </c>
      <c r="B36" t="s">
        <v>143</v>
      </c>
      <c r="C36">
        <v>15.92685</v>
      </c>
      <c r="D36">
        <v>15.715275000000233</v>
      </c>
      <c r="E36">
        <v>706.71161048689214</v>
      </c>
      <c r="F36">
        <v>0.12869822592723007</v>
      </c>
      <c r="G36">
        <v>0.23901493172509933</v>
      </c>
      <c r="H36" t="s">
        <v>144</v>
      </c>
      <c r="I36" t="s">
        <v>145</v>
      </c>
    </row>
    <row r="37" spans="1:9" x14ac:dyDescent="0.2">
      <c r="A37" t="s">
        <v>146</v>
      </c>
      <c r="D37">
        <v>9228.0383731092552</v>
      </c>
      <c r="E37">
        <v>208770.10014560047</v>
      </c>
      <c r="F37">
        <v>75.571834880875159</v>
      </c>
      <c r="G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7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5.85546875" customWidth="1"/>
    <col min="2" max="2" width="26.85546875" customWidth="1"/>
    <col min="3" max="3" width="14" customWidth="1"/>
    <col min="4" max="4" width="13.85546875" customWidth="1"/>
    <col min="5" max="5" width="14.85546875" customWidth="1"/>
    <col min="6" max="6" width="12.7109375" customWidth="1"/>
    <col min="7" max="7" width="13.85546875" customWidth="1"/>
    <col min="8" max="8" width="13" customWidth="1"/>
    <col min="9" max="9" width="9.7109375" customWidth="1"/>
  </cols>
  <sheetData>
    <row r="1" spans="1:8" ht="21" x14ac:dyDescent="0.2">
      <c r="A1" s="237" t="s">
        <v>147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88"/>
      <c r="B2" s="89"/>
      <c r="C2" s="89"/>
      <c r="D2" s="89"/>
      <c r="E2" s="89"/>
      <c r="F2" s="89"/>
      <c r="G2" s="89"/>
      <c r="H2" s="90"/>
    </row>
    <row r="3" spans="1:8" s="3" customFormat="1" ht="15.75" x14ac:dyDescent="0.25">
      <c r="A3" s="91" t="s">
        <v>148</v>
      </c>
      <c r="B3" s="92"/>
      <c r="C3" s="93" t="s">
        <v>149</v>
      </c>
      <c r="D3" s="92"/>
      <c r="E3" s="92"/>
      <c r="F3" s="92"/>
      <c r="G3" s="92"/>
      <c r="H3" s="94"/>
    </row>
    <row r="4" spans="1:8" ht="12.75" customHeight="1" x14ac:dyDescent="0.2">
      <c r="A4" s="17" t="s">
        <v>150</v>
      </c>
      <c r="C4" s="2" t="s">
        <v>151</v>
      </c>
      <c r="F4" s="95" t="s">
        <v>152</v>
      </c>
      <c r="G4" s="1"/>
      <c r="H4" s="96">
        <v>5.0567749212705754E-3</v>
      </c>
    </row>
    <row r="5" spans="1:8" ht="12.75" customHeight="1" x14ac:dyDescent="0.2">
      <c r="A5" s="17" t="s">
        <v>153</v>
      </c>
      <c r="B5" s="97"/>
      <c r="C5" s="2" t="s">
        <v>61</v>
      </c>
      <c r="F5" s="95" t="s">
        <v>154</v>
      </c>
      <c r="G5" s="1"/>
      <c r="H5" s="96">
        <v>3.4307385855433109E-2</v>
      </c>
    </row>
    <row r="6" spans="1:8" ht="12.75" customHeight="1" x14ac:dyDescent="0.2">
      <c r="A6" s="17" t="s">
        <v>155</v>
      </c>
      <c r="C6" s="98">
        <v>6</v>
      </c>
      <c r="F6" s="95" t="s">
        <v>156</v>
      </c>
      <c r="G6" s="1"/>
      <c r="H6" s="96">
        <v>0</v>
      </c>
    </row>
    <row r="7" spans="1:8" ht="12.75" customHeight="1" x14ac:dyDescent="0.2">
      <c r="A7" s="17" t="s">
        <v>157</v>
      </c>
      <c r="B7" s="99"/>
      <c r="C7" s="100">
        <v>0</v>
      </c>
      <c r="D7" s="99"/>
      <c r="E7" s="99"/>
      <c r="F7" s="101" t="s">
        <v>158</v>
      </c>
      <c r="G7" s="102"/>
      <c r="H7" s="103">
        <v>0.99999372477846582</v>
      </c>
    </row>
    <row r="8" spans="1:8" s="4" customFormat="1" ht="12.75" customHeight="1" x14ac:dyDescent="0.2">
      <c r="A8" s="12"/>
      <c r="B8" s="18"/>
      <c r="C8" s="19"/>
      <c r="D8" s="2"/>
      <c r="E8" s="2"/>
      <c r="F8" s="18"/>
      <c r="G8" s="18"/>
      <c r="H8" s="46"/>
    </row>
    <row r="9" spans="1:8" ht="15.75" x14ac:dyDescent="0.25">
      <c r="A9" s="104" t="s">
        <v>159</v>
      </c>
      <c r="B9" s="105"/>
      <c r="C9" s="106" t="s">
        <v>149</v>
      </c>
      <c r="D9" s="105"/>
      <c r="E9" s="105"/>
      <c r="F9" s="105"/>
      <c r="G9" s="105"/>
      <c r="H9" s="107"/>
    </row>
    <row r="10" spans="1:8" ht="12.6" customHeight="1" x14ac:dyDescent="0.2"/>
    <row r="13" spans="1:8" ht="12.6" customHeight="1" x14ac:dyDescent="0.2"/>
    <row r="14" spans="1:8" ht="12.6" customHeight="1" x14ac:dyDescent="0.2"/>
    <row r="15" spans="1:8" ht="12.6" customHeight="1" x14ac:dyDescent="0.2"/>
    <row r="16" spans="1:8" ht="12.6" customHeight="1" x14ac:dyDescent="0.2"/>
    <row r="17" ht="12.6" customHeight="1" x14ac:dyDescent="0.2"/>
    <row r="18" ht="13.15" customHeight="1" x14ac:dyDescent="0.2"/>
    <row r="19" ht="13.15" customHeight="1" x14ac:dyDescent="0.2"/>
    <row r="36" spans="1:13" ht="15.75" x14ac:dyDescent="0.25">
      <c r="A36" s="91" t="s">
        <v>160</v>
      </c>
      <c r="B36" s="92"/>
      <c r="C36" s="106" t="s">
        <v>149</v>
      </c>
      <c r="D36" s="92"/>
      <c r="E36" s="92"/>
      <c r="F36" s="92"/>
      <c r="G36" s="92"/>
      <c r="H36" s="94"/>
    </row>
    <row r="37" spans="1:13" ht="12.75" customHeight="1" x14ac:dyDescent="0.2">
      <c r="A37" s="55" t="s">
        <v>161</v>
      </c>
      <c r="B37" s="56" t="s">
        <v>17</v>
      </c>
      <c r="C37" s="57" t="s">
        <v>20</v>
      </c>
      <c r="D37" s="57" t="s">
        <v>162</v>
      </c>
      <c r="E37" s="57" t="s">
        <v>163</v>
      </c>
      <c r="F37" s="57" t="s">
        <v>164</v>
      </c>
      <c r="G37" s="57" t="s">
        <v>165</v>
      </c>
      <c r="H37" s="57" t="s">
        <v>166</v>
      </c>
      <c r="I37" s="58"/>
    </row>
    <row r="38" spans="1:13" ht="12.75" customHeight="1" x14ac:dyDescent="0.2">
      <c r="A38" s="59" t="s">
        <v>23</v>
      </c>
      <c r="B38" s="60" t="s">
        <v>23</v>
      </c>
      <c r="C38" s="61" t="s">
        <v>23</v>
      </c>
      <c r="D38" s="61" t="s">
        <v>167</v>
      </c>
      <c r="E38" s="61" t="s">
        <v>168</v>
      </c>
      <c r="F38" s="61" t="s">
        <v>70</v>
      </c>
      <c r="G38" s="61" t="s">
        <v>168</v>
      </c>
      <c r="H38" s="61" t="s">
        <v>169</v>
      </c>
      <c r="I38" s="58"/>
    </row>
    <row r="39" spans="1:13" ht="12.75" customHeight="1" x14ac:dyDescent="0.2">
      <c r="A39" s="59" t="s">
        <v>23</v>
      </c>
      <c r="B39" s="60" t="s">
        <v>23</v>
      </c>
      <c r="C39" s="61" t="s">
        <v>23</v>
      </c>
      <c r="D39" s="61" t="s">
        <v>170</v>
      </c>
      <c r="E39" s="61" t="s">
        <v>170</v>
      </c>
      <c r="F39" s="61" t="s">
        <v>170</v>
      </c>
      <c r="G39" s="61" t="s">
        <v>170</v>
      </c>
      <c r="H39" s="61" t="s">
        <v>170</v>
      </c>
      <c r="I39" s="58"/>
    </row>
    <row r="40" spans="1:13" ht="12.75" hidden="1" customHeight="1" x14ac:dyDescent="0.2">
      <c r="A40" s="62" t="s">
        <v>23</v>
      </c>
      <c r="B40" s="63" t="s">
        <v>23</v>
      </c>
      <c r="C40" s="64" t="s">
        <v>23</v>
      </c>
      <c r="D40" s="64" t="s">
        <v>149</v>
      </c>
      <c r="E40" s="64" t="s">
        <v>149</v>
      </c>
      <c r="F40" s="64" t="s">
        <v>149</v>
      </c>
      <c r="G40" s="64" t="s">
        <v>149</v>
      </c>
      <c r="H40" s="64" t="s">
        <v>149</v>
      </c>
      <c r="I40" s="58"/>
    </row>
    <row r="41" spans="1:13" ht="12.75" customHeight="1" x14ac:dyDescent="0.2">
      <c r="A41" s="108">
        <v>1</v>
      </c>
      <c r="B41" s="109" t="s">
        <v>24</v>
      </c>
      <c r="C41" s="110" t="s">
        <v>27</v>
      </c>
      <c r="D41" s="111">
        <v>20</v>
      </c>
      <c r="E41" s="111">
        <v>0.69371972846273344</v>
      </c>
      <c r="F41" s="112">
        <v>1.257618216400358E-2</v>
      </c>
      <c r="G41" s="112">
        <v>0.69371972846273344</v>
      </c>
      <c r="H41" s="112">
        <v>39.010697729988514</v>
      </c>
      <c r="I41" s="58"/>
      <c r="L41" s="243"/>
      <c r="M41" s="243"/>
    </row>
    <row r="42" spans="1:13" ht="12.75" customHeight="1" x14ac:dyDescent="0.2">
      <c r="A42" s="114">
        <v>2</v>
      </c>
      <c r="B42" s="115" t="s">
        <v>29</v>
      </c>
      <c r="C42" s="116" t="s">
        <v>27</v>
      </c>
      <c r="D42" s="117">
        <v>40</v>
      </c>
      <c r="E42" s="117">
        <v>1.3698938740860227</v>
      </c>
      <c r="F42" s="118">
        <v>-1.8645837631430795E-2</v>
      </c>
      <c r="G42" s="118">
        <v>1.3698938740860227</v>
      </c>
      <c r="H42" s="118">
        <v>73.714902489066759</v>
      </c>
      <c r="I42" s="58"/>
    </row>
    <row r="43" spans="1:13" ht="12.75" customHeight="1" x14ac:dyDescent="0.2">
      <c r="A43" s="114">
        <v>3</v>
      </c>
      <c r="B43" s="115" t="s">
        <v>30</v>
      </c>
      <c r="C43" s="116" t="s">
        <v>27</v>
      </c>
      <c r="D43" s="117">
        <v>80</v>
      </c>
      <c r="E43" s="117">
        <v>2.7485716066184356</v>
      </c>
      <c r="F43" s="118">
        <v>-1.3450459218544708E-3</v>
      </c>
      <c r="G43" s="118">
        <v>2.7485716066184356</v>
      </c>
      <c r="H43" s="118">
        <v>137.54195520314667</v>
      </c>
      <c r="I43" s="58"/>
      <c r="L43" s="243"/>
      <c r="M43" s="243"/>
    </row>
    <row r="44" spans="1:13" ht="12.75" customHeight="1" x14ac:dyDescent="0.2">
      <c r="A44" s="114">
        <v>4</v>
      </c>
      <c r="B44" s="115" t="s">
        <v>31</v>
      </c>
      <c r="C44" s="116" t="s">
        <v>27</v>
      </c>
      <c r="D44" s="117">
        <v>120</v>
      </c>
      <c r="E44" s="117">
        <v>4.1266369493860928</v>
      </c>
      <c r="F44" s="118">
        <v>3.9115598440409016E-3</v>
      </c>
      <c r="G44" s="118">
        <v>4.1266369493860928</v>
      </c>
      <c r="H44" s="118">
        <v>194.96952132703973</v>
      </c>
      <c r="I44" s="58"/>
    </row>
    <row r="45" spans="1:13" ht="12.75" customHeight="1" x14ac:dyDescent="0.2">
      <c r="A45" s="114">
        <v>5</v>
      </c>
      <c r="B45" s="115" t="s">
        <v>32</v>
      </c>
      <c r="C45" s="116" t="s">
        <v>27</v>
      </c>
      <c r="D45" s="117">
        <v>160</v>
      </c>
      <c r="E45" s="117">
        <v>5.50659365464002</v>
      </c>
      <c r="F45" s="118">
        <v>7.721964280907323E-3</v>
      </c>
      <c r="G45" s="118">
        <v>5.50659365464002</v>
      </c>
      <c r="H45" s="118">
        <v>244.80883722135221</v>
      </c>
      <c r="I45" s="58"/>
      <c r="L45" s="243"/>
      <c r="M45" s="243"/>
    </row>
    <row r="46" spans="1:13" ht="12.75" customHeight="1" x14ac:dyDescent="0.2">
      <c r="A46" s="119">
        <v>6</v>
      </c>
      <c r="B46" s="120" t="s">
        <v>33</v>
      </c>
      <c r="C46" s="121" t="s">
        <v>27</v>
      </c>
      <c r="D46" s="122">
        <v>200</v>
      </c>
      <c r="E46" s="122">
        <v>6.8555040667028484</v>
      </c>
      <c r="F46" s="123">
        <v>-5.5149396525222549E-3</v>
      </c>
      <c r="G46" s="123">
        <v>6.8555040667028484</v>
      </c>
      <c r="H46" s="123">
        <v>291.08616775672783</v>
      </c>
      <c r="I46" s="58"/>
    </row>
    <row r="47" spans="1:13" ht="12.75" customHeight="1" x14ac:dyDescent="0.2">
      <c r="A47" s="41"/>
      <c r="B47" s="41"/>
      <c r="C47" s="41"/>
      <c r="D47" s="41"/>
      <c r="E47" s="41"/>
      <c r="F47" s="41"/>
      <c r="G47" s="41"/>
      <c r="H47" s="41"/>
      <c r="I47" s="41"/>
      <c r="J47" s="41"/>
    </row>
  </sheetData>
  <mergeCells count="4">
    <mergeCell ref="L41:M41"/>
    <mergeCell ref="A1:H1"/>
    <mergeCell ref="L43:M43"/>
    <mergeCell ref="L45:M45"/>
  </mergeCells>
  <pageMargins left="0.77986109999999997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6"/>
  <sheetViews>
    <sheetView showOutlineSymbols="0" zoomScaleNormal="100" zoomScaleSheetLayoutView="100" workbookViewId="0">
      <selection activeCell="C1" sqref="A1:H1"/>
    </sheetView>
  </sheetViews>
  <sheetFormatPr defaultColWidth="9.140625" defaultRowHeight="12.75" customHeight="1" x14ac:dyDescent="0.2"/>
  <cols>
    <col min="1" max="1" width="5.28515625" customWidth="1"/>
    <col min="2" max="2" width="21.140625" customWidth="1"/>
    <col min="3" max="3" width="16" customWidth="1"/>
    <col min="4" max="4" width="11" customWidth="1"/>
    <col min="5" max="5" width="9.28515625" customWidth="1"/>
    <col min="6" max="6" width="15.42578125" customWidth="1"/>
    <col min="7" max="7" width="15.140625" customWidth="1"/>
    <col min="8" max="8" width="12.7109375" customWidth="1"/>
    <col min="9" max="9" width="1.7109375" customWidth="1"/>
  </cols>
  <sheetData>
    <row r="1" spans="1:8" ht="17.25" customHeight="1" x14ac:dyDescent="0.2">
      <c r="A1" s="237" t="s">
        <v>171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ht="12.75" customHeight="1" x14ac:dyDescent="0.2">
      <c r="A3" s="124" t="s">
        <v>15</v>
      </c>
      <c r="B3" s="125"/>
      <c r="C3" s="125"/>
      <c r="D3" s="125"/>
      <c r="E3" s="125"/>
      <c r="F3" s="125"/>
      <c r="G3" s="126"/>
      <c r="H3" s="127"/>
    </row>
    <row r="4" spans="1:8" ht="12.75" customHeight="1" x14ac:dyDescent="0.2">
      <c r="A4" s="128" t="s">
        <v>38</v>
      </c>
      <c r="B4" s="129"/>
      <c r="C4" s="130" t="s">
        <v>24</v>
      </c>
      <c r="D4" s="131"/>
      <c r="E4" s="131"/>
      <c r="F4" s="129" t="s">
        <v>40</v>
      </c>
      <c r="G4" s="132">
        <v>0.45</v>
      </c>
      <c r="H4" s="133"/>
    </row>
    <row r="5" spans="1:8" ht="12.75" customHeight="1" x14ac:dyDescent="0.2">
      <c r="A5" s="134" t="s">
        <v>41</v>
      </c>
      <c r="B5" s="135"/>
      <c r="C5" s="136" t="s">
        <v>25</v>
      </c>
      <c r="D5" s="137"/>
      <c r="E5" s="137"/>
      <c r="F5" s="135" t="s">
        <v>42</v>
      </c>
      <c r="G5" s="132">
        <v>2</v>
      </c>
      <c r="H5" s="133"/>
    </row>
    <row r="6" spans="1:8" s="3" customFormat="1" ht="12.75" customHeight="1" x14ac:dyDescent="0.2">
      <c r="A6" s="134" t="s">
        <v>43</v>
      </c>
      <c r="B6" s="135"/>
      <c r="C6" s="136" t="s">
        <v>26</v>
      </c>
      <c r="D6" s="137"/>
      <c r="E6" s="137"/>
      <c r="F6" s="135" t="s">
        <v>44</v>
      </c>
      <c r="G6" s="136" t="s">
        <v>170</v>
      </c>
      <c r="H6" s="138"/>
    </row>
    <row r="7" spans="1:8" ht="12" customHeight="1" x14ac:dyDescent="0.2">
      <c r="A7" s="134" t="s">
        <v>46</v>
      </c>
      <c r="B7" s="135"/>
      <c r="C7" s="136" t="s">
        <v>27</v>
      </c>
      <c r="D7" s="137"/>
      <c r="E7" s="137"/>
      <c r="F7" s="135" t="s">
        <v>47</v>
      </c>
      <c r="G7" s="136">
        <v>244</v>
      </c>
      <c r="H7" s="139"/>
    </row>
    <row r="8" spans="1:8" ht="12" customHeight="1" x14ac:dyDescent="0.2">
      <c r="A8" s="134" t="s">
        <v>49</v>
      </c>
      <c r="B8" s="135"/>
      <c r="C8" s="136" t="s">
        <v>172</v>
      </c>
      <c r="D8" s="137"/>
      <c r="E8" s="137"/>
      <c r="F8" s="135" t="s">
        <v>50</v>
      </c>
      <c r="G8" s="136">
        <v>4</v>
      </c>
      <c r="H8" s="138"/>
    </row>
    <row r="9" spans="1:8" ht="12" customHeight="1" x14ac:dyDescent="0.2">
      <c r="A9" s="134" t="s">
        <v>51</v>
      </c>
      <c r="B9" s="135"/>
      <c r="C9" s="136" t="s">
        <v>172</v>
      </c>
      <c r="D9" s="137"/>
      <c r="E9" s="137"/>
      <c r="F9" s="135" t="s">
        <v>53</v>
      </c>
      <c r="G9" s="140">
        <v>1</v>
      </c>
      <c r="H9" s="141"/>
    </row>
    <row r="10" spans="1:8" ht="12" customHeight="1" x14ac:dyDescent="0.2">
      <c r="A10" s="142" t="s">
        <v>54</v>
      </c>
      <c r="B10" s="143"/>
      <c r="C10" s="144">
        <v>44754.551724537036</v>
      </c>
      <c r="D10" s="145"/>
      <c r="E10" s="145"/>
      <c r="F10" s="143" t="s">
        <v>55</v>
      </c>
      <c r="G10" s="146">
        <v>1</v>
      </c>
      <c r="H10" s="147"/>
    </row>
    <row r="11" spans="1:8" ht="12" customHeight="1" x14ac:dyDescent="0.2">
      <c r="A11" s="18"/>
      <c r="B11" s="18"/>
      <c r="C11" s="51"/>
      <c r="D11" s="2"/>
      <c r="E11" s="2"/>
      <c r="F11" s="18"/>
      <c r="G11" s="18"/>
      <c r="H11" s="46"/>
    </row>
    <row r="12" spans="1:8" s="4" customFormat="1" ht="15.75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39" spans="1:9" ht="15" customHeight="1" x14ac:dyDescent="0.2">
      <c r="A39" s="148" t="s">
        <v>173</v>
      </c>
      <c r="B39" s="149"/>
      <c r="C39" s="149"/>
      <c r="D39" s="149"/>
      <c r="E39" s="149"/>
      <c r="F39" s="149"/>
      <c r="G39" s="149"/>
      <c r="H39" s="150"/>
    </row>
    <row r="40" spans="1:9" ht="12.75" customHeight="1" x14ac:dyDescent="0.2">
      <c r="A40" s="55" t="s">
        <v>58</v>
      </c>
      <c r="B40" s="56" t="s">
        <v>59</v>
      </c>
      <c r="C40" s="57" t="s">
        <v>174</v>
      </c>
      <c r="D40" s="57" t="s">
        <v>175</v>
      </c>
      <c r="E40" s="57" t="s">
        <v>176</v>
      </c>
      <c r="F40" s="57" t="s">
        <v>177</v>
      </c>
      <c r="G40" s="57" t="s">
        <v>178</v>
      </c>
      <c r="H40" s="57" t="s">
        <v>179</v>
      </c>
      <c r="I40" s="58"/>
    </row>
    <row r="41" spans="1:9" ht="12.75" customHeight="1" x14ac:dyDescent="0.2">
      <c r="A41" s="59" t="s">
        <v>23</v>
      </c>
      <c r="B41" s="60" t="s">
        <v>23</v>
      </c>
      <c r="C41" s="61" t="s">
        <v>67</v>
      </c>
      <c r="D41" s="61" t="s">
        <v>67</v>
      </c>
      <c r="E41" s="61" t="s">
        <v>23</v>
      </c>
      <c r="F41" s="61" t="s">
        <v>23</v>
      </c>
      <c r="G41" s="61" t="s">
        <v>23</v>
      </c>
      <c r="H41" s="61" t="s">
        <v>23</v>
      </c>
      <c r="I41" s="58"/>
    </row>
    <row r="42" spans="1:9" ht="12.75" hidden="1" customHeight="1" x14ac:dyDescent="0.2">
      <c r="A42" s="62" t="s">
        <v>170</v>
      </c>
      <c r="B42" s="63" t="s">
        <v>170</v>
      </c>
      <c r="C42" s="64" t="s">
        <v>170</v>
      </c>
      <c r="D42" s="64" t="s">
        <v>170</v>
      </c>
      <c r="E42" s="64" t="s">
        <v>170</v>
      </c>
      <c r="F42" s="64" t="s">
        <v>170</v>
      </c>
      <c r="G42" s="64" t="s">
        <v>170</v>
      </c>
      <c r="H42" s="64" t="s">
        <v>170</v>
      </c>
      <c r="I42" s="58"/>
    </row>
    <row r="43" spans="1:9" ht="12.75" customHeight="1" x14ac:dyDescent="0.2">
      <c r="A43" s="65">
        <v>1</v>
      </c>
      <c r="B43" s="109" t="s">
        <v>149</v>
      </c>
      <c r="C43" s="151">
        <v>0.17016666666666666</v>
      </c>
      <c r="D43" s="152">
        <v>1.6292151898436691E-2</v>
      </c>
      <c r="E43" s="153" t="s">
        <v>180</v>
      </c>
      <c r="F43" s="154">
        <v>2.720316315062699</v>
      </c>
      <c r="G43" s="154">
        <v>1.4765908837209638</v>
      </c>
      <c r="H43" s="153">
        <v>604</v>
      </c>
    </row>
    <row r="44" spans="1:9" ht="12.75" customHeight="1" x14ac:dyDescent="0.2">
      <c r="A44" s="71">
        <v>2</v>
      </c>
      <c r="B44" s="115" t="s">
        <v>96</v>
      </c>
      <c r="C44" s="155">
        <v>0.24583333333333332</v>
      </c>
      <c r="D44" s="156">
        <v>1.6530011528763405E-2</v>
      </c>
      <c r="E44" s="157" t="s">
        <v>181</v>
      </c>
      <c r="F44" s="158">
        <v>4.0274807738049265</v>
      </c>
      <c r="G44" s="158">
        <v>1.4326622856285074</v>
      </c>
      <c r="H44" s="157">
        <v>1225</v>
      </c>
    </row>
    <row r="45" spans="1:9" ht="12.75" customHeight="1" x14ac:dyDescent="0.2">
      <c r="A45" s="77">
        <v>3</v>
      </c>
      <c r="B45" s="120" t="s">
        <v>182</v>
      </c>
      <c r="C45" s="159">
        <v>0.36283333333333334</v>
      </c>
      <c r="D45" s="160">
        <v>1.7749481721199167E-2</v>
      </c>
      <c r="E45" s="161" t="s">
        <v>180</v>
      </c>
      <c r="F45" s="162" t="s">
        <v>48</v>
      </c>
      <c r="G45" s="162">
        <v>1.3521904745949285</v>
      </c>
      <c r="H45" s="161">
        <v>2315</v>
      </c>
    </row>
    <row r="46" spans="1:9" ht="12.75" customHeight="1" x14ac:dyDescent="0.2">
      <c r="A46" s="41"/>
      <c r="B46" s="41"/>
      <c r="C46" s="41"/>
      <c r="D46" s="41"/>
      <c r="E46" s="41"/>
      <c r="F46" s="41"/>
      <c r="G46" s="41"/>
      <c r="H46" s="41"/>
      <c r="I46" s="41"/>
    </row>
  </sheetData>
  <mergeCells count="1">
    <mergeCell ref="A1:H1"/>
  </mergeCells>
  <pageMargins left="0.77986109999999997" right="0.50972220000000001" top="0.99027779999999999" bottom="0.8" header="0.5" footer="0.5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1"/>
  <sheetViews>
    <sheetView zoomScaleNormal="100" zoomScaleSheetLayoutView="100" workbookViewId="0">
      <selection activeCell="C1" sqref="A1:F1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31" customWidth="1"/>
    <col min="4" max="4" width="12.5703125" customWidth="1"/>
    <col min="5" max="5" width="15.42578125" customWidth="1"/>
    <col min="6" max="6" width="14.7109375" customWidth="1"/>
    <col min="7" max="7" width="1.5703125" customWidth="1"/>
  </cols>
  <sheetData>
    <row r="1" spans="1:9" ht="21" x14ac:dyDescent="0.2">
      <c r="A1" s="244" t="s">
        <v>183</v>
      </c>
      <c r="B1" s="245"/>
      <c r="C1" s="245"/>
      <c r="D1" s="245"/>
      <c r="E1" s="245"/>
      <c r="F1" s="246"/>
    </row>
    <row r="2" spans="1:9" s="1" customFormat="1" x14ac:dyDescent="0.2">
      <c r="A2" s="5"/>
      <c r="B2" s="6"/>
      <c r="C2" s="6"/>
      <c r="D2" s="163"/>
      <c r="E2" s="6"/>
      <c r="F2" s="7"/>
    </row>
    <row r="3" spans="1:9" s="1" customFormat="1" ht="15.75" x14ac:dyDescent="0.2">
      <c r="A3" s="8" t="s">
        <v>15</v>
      </c>
      <c r="B3" s="9"/>
      <c r="C3" s="9"/>
      <c r="D3" s="164"/>
      <c r="E3" s="9"/>
      <c r="F3" s="165"/>
      <c r="G3" s="166"/>
      <c r="H3" s="166"/>
    </row>
    <row r="4" spans="1:9" s="2" customFormat="1" ht="12.75" customHeight="1" x14ac:dyDescent="0.2">
      <c r="A4" s="167" t="s">
        <v>38</v>
      </c>
      <c r="B4" s="168"/>
      <c r="C4" s="169" t="s">
        <v>24</v>
      </c>
      <c r="D4" s="170"/>
      <c r="E4" s="168" t="s">
        <v>40</v>
      </c>
      <c r="F4" s="171">
        <v>0.45</v>
      </c>
      <c r="G4" s="172"/>
      <c r="H4" s="172"/>
      <c r="I4" s="173"/>
    </row>
    <row r="5" spans="1:9" s="1" customFormat="1" ht="12.75" customHeight="1" x14ac:dyDescent="0.2">
      <c r="A5" s="174" t="s">
        <v>41</v>
      </c>
      <c r="B5" s="175"/>
      <c r="C5" s="176" t="s">
        <v>25</v>
      </c>
      <c r="D5" s="177"/>
      <c r="E5" s="175" t="s">
        <v>42</v>
      </c>
      <c r="F5" s="178">
        <v>2</v>
      </c>
      <c r="G5" s="172"/>
      <c r="H5" s="172"/>
      <c r="I5" s="179"/>
    </row>
    <row r="6" spans="1:9" s="1" customFormat="1" ht="12.75" customHeight="1" x14ac:dyDescent="0.2">
      <c r="A6" s="174" t="s">
        <v>43</v>
      </c>
      <c r="B6" s="175"/>
      <c r="C6" s="176" t="s">
        <v>26</v>
      </c>
      <c r="D6" s="177"/>
      <c r="E6" s="175" t="s">
        <v>44</v>
      </c>
      <c r="F6" s="180" t="s">
        <v>170</v>
      </c>
      <c r="G6" s="181"/>
      <c r="H6" s="181"/>
      <c r="I6" s="179"/>
    </row>
    <row r="7" spans="1:9" s="1" customFormat="1" ht="12.75" customHeight="1" x14ac:dyDescent="0.2">
      <c r="A7" s="174" t="s">
        <v>46</v>
      </c>
      <c r="B7" s="175"/>
      <c r="C7" s="176" t="s">
        <v>27</v>
      </c>
      <c r="D7" s="177"/>
      <c r="E7" s="175" t="s">
        <v>47</v>
      </c>
      <c r="F7" s="180">
        <v>244</v>
      </c>
      <c r="G7" s="181"/>
      <c r="H7" s="182"/>
      <c r="I7" s="179"/>
    </row>
    <row r="8" spans="1:9" s="1" customFormat="1" ht="12.75" customHeight="1" x14ac:dyDescent="0.2">
      <c r="A8" s="174" t="s">
        <v>49</v>
      </c>
      <c r="B8" s="175"/>
      <c r="C8" s="176" t="s">
        <v>172</v>
      </c>
      <c r="D8" s="177"/>
      <c r="E8" s="175" t="s">
        <v>50</v>
      </c>
      <c r="F8" s="180">
        <v>4</v>
      </c>
      <c r="G8" s="181"/>
      <c r="H8" s="181"/>
      <c r="I8" s="179"/>
    </row>
    <row r="9" spans="1:9" s="1" customFormat="1" ht="12.75" customHeight="1" x14ac:dyDescent="0.2">
      <c r="A9" s="174" t="s">
        <v>51</v>
      </c>
      <c r="B9" s="175"/>
      <c r="C9" s="176" t="s">
        <v>172</v>
      </c>
      <c r="D9" s="177"/>
      <c r="E9" s="175" t="s">
        <v>53</v>
      </c>
      <c r="F9" s="183">
        <v>1</v>
      </c>
      <c r="G9" s="184"/>
      <c r="H9" s="184"/>
      <c r="I9" s="179"/>
    </row>
    <row r="10" spans="1:9" s="2" customFormat="1" ht="12.75" customHeight="1" x14ac:dyDescent="0.2">
      <c r="A10" s="185" t="s">
        <v>54</v>
      </c>
      <c r="B10" s="186"/>
      <c r="C10" s="187">
        <v>44754.551724537036</v>
      </c>
      <c r="D10" s="188"/>
      <c r="E10" s="186" t="s">
        <v>55</v>
      </c>
      <c r="F10" s="189">
        <v>1</v>
      </c>
      <c r="G10" s="184"/>
      <c r="H10" s="184"/>
      <c r="I10" s="173"/>
    </row>
    <row r="11" spans="1:9" s="2" customFormat="1" ht="12.75" customHeight="1" x14ac:dyDescent="0.2">
      <c r="A11" s="18"/>
      <c r="B11" s="18"/>
      <c r="C11" s="51"/>
      <c r="E11" s="18"/>
      <c r="F11" s="18"/>
      <c r="G11" s="190"/>
      <c r="H11" s="190"/>
    </row>
    <row r="12" spans="1:9" s="2" customFormat="1" ht="12.75" customHeight="1" x14ac:dyDescent="0.2">
      <c r="A12" s="29" t="s">
        <v>56</v>
      </c>
      <c r="B12" s="30"/>
      <c r="C12" s="30"/>
      <c r="D12" s="191"/>
      <c r="E12" s="30"/>
      <c r="F12" s="31"/>
    </row>
    <row r="13" spans="1:9" s="2" customFormat="1" ht="12.75" customHeight="1" x14ac:dyDescent="0.2">
      <c r="A13"/>
      <c r="B13"/>
      <c r="C13"/>
      <c r="D13"/>
      <c r="E13"/>
      <c r="F13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7" ht="12.75" customHeight="1" x14ac:dyDescent="0.2"/>
    <row r="34" spans="1:7" ht="12.75" customHeight="1" x14ac:dyDescent="0.2"/>
    <row r="35" spans="1:7" ht="12.75" customHeight="1" x14ac:dyDescent="0.2"/>
    <row r="36" spans="1:7" ht="12.75" customHeight="1" x14ac:dyDescent="0.2"/>
    <row r="37" spans="1:7" ht="12.75" customHeight="1" x14ac:dyDescent="0.2"/>
    <row r="38" spans="1:7" ht="12.75" customHeight="1" x14ac:dyDescent="0.2"/>
    <row r="39" spans="1:7" ht="15.75" x14ac:dyDescent="0.2">
      <c r="A39" s="29" t="s">
        <v>184</v>
      </c>
      <c r="B39" s="30"/>
      <c r="C39" s="30"/>
      <c r="D39" s="191"/>
      <c r="E39" s="30"/>
      <c r="F39" s="31"/>
    </row>
    <row r="40" spans="1:7" x14ac:dyDescent="0.2">
      <c r="A40" s="192" t="s">
        <v>58</v>
      </c>
      <c r="B40" s="192" t="s">
        <v>185</v>
      </c>
      <c r="C40" s="192" t="s">
        <v>186</v>
      </c>
      <c r="D40" s="192" t="s">
        <v>187</v>
      </c>
      <c r="E40" s="193" t="s">
        <v>188</v>
      </c>
      <c r="F40" s="192" t="s">
        <v>189</v>
      </c>
      <c r="G40" s="58"/>
    </row>
    <row r="41" spans="1:7" x14ac:dyDescent="0.2">
      <c r="A41" s="194">
        <v>1</v>
      </c>
      <c r="B41" s="195" t="s">
        <v>190</v>
      </c>
      <c r="C41" s="195" t="s">
        <v>191</v>
      </c>
      <c r="D41" s="195" t="s">
        <v>192</v>
      </c>
      <c r="E41" s="196" t="s">
        <v>193</v>
      </c>
      <c r="F41" s="195" t="s">
        <v>24</v>
      </c>
    </row>
    <row r="42" spans="1:7" x14ac:dyDescent="0.2">
      <c r="A42" s="194">
        <v>2</v>
      </c>
      <c r="B42" s="195" t="s">
        <v>194</v>
      </c>
      <c r="C42" s="195" t="s">
        <v>195</v>
      </c>
      <c r="D42" s="195" t="s">
        <v>149</v>
      </c>
      <c r="E42" s="196" t="s">
        <v>193</v>
      </c>
      <c r="F42" s="195" t="s">
        <v>24</v>
      </c>
    </row>
    <row r="43" spans="1:7" x14ac:dyDescent="0.2">
      <c r="A43" s="194">
        <v>3</v>
      </c>
      <c r="B43" s="195" t="s">
        <v>196</v>
      </c>
      <c r="C43" s="195" t="s">
        <v>197</v>
      </c>
      <c r="D43" s="195" t="s">
        <v>198</v>
      </c>
      <c r="E43" s="196" t="s">
        <v>193</v>
      </c>
      <c r="F43" s="195" t="s">
        <v>24</v>
      </c>
    </row>
    <row r="44" spans="1:7" x14ac:dyDescent="0.2">
      <c r="A44" s="194">
        <v>4</v>
      </c>
      <c r="B44" s="195" t="s">
        <v>199</v>
      </c>
      <c r="C44" s="195" t="s">
        <v>191</v>
      </c>
      <c r="D44" s="195" t="s">
        <v>200</v>
      </c>
      <c r="E44" s="196" t="s">
        <v>193</v>
      </c>
      <c r="F44" s="195" t="s">
        <v>24</v>
      </c>
    </row>
    <row r="45" spans="1:7" x14ac:dyDescent="0.2">
      <c r="A45" s="194" t="s">
        <v>23</v>
      </c>
      <c r="B45" s="195" t="s">
        <v>23</v>
      </c>
      <c r="C45" s="195" t="s">
        <v>23</v>
      </c>
      <c r="D45" s="195" t="s">
        <v>23</v>
      </c>
      <c r="E45" s="196" t="s">
        <v>23</v>
      </c>
      <c r="F45" s="195" t="s">
        <v>24</v>
      </c>
    </row>
    <row r="46" spans="1:7" x14ac:dyDescent="0.2">
      <c r="A46" s="194" t="s">
        <v>23</v>
      </c>
      <c r="B46" s="195" t="s">
        <v>23</v>
      </c>
      <c r="C46" s="195" t="s">
        <v>23</v>
      </c>
      <c r="D46" s="195" t="s">
        <v>23</v>
      </c>
      <c r="E46" s="196" t="s">
        <v>23</v>
      </c>
      <c r="F46" s="195" t="s">
        <v>24</v>
      </c>
    </row>
    <row r="47" spans="1:7" x14ac:dyDescent="0.2">
      <c r="A47" s="194">
        <v>5</v>
      </c>
      <c r="B47" s="195" t="s">
        <v>201</v>
      </c>
      <c r="C47" s="195" t="s">
        <v>202</v>
      </c>
      <c r="D47" s="195" t="s">
        <v>23</v>
      </c>
      <c r="E47" s="196" t="s">
        <v>193</v>
      </c>
      <c r="F47" s="195" t="s">
        <v>24</v>
      </c>
    </row>
    <row r="48" spans="1:7" x14ac:dyDescent="0.2">
      <c r="A48" s="194">
        <v>6</v>
      </c>
      <c r="B48" s="195" t="s">
        <v>203</v>
      </c>
      <c r="C48" s="195" t="s">
        <v>204</v>
      </c>
      <c r="D48" s="195" t="s">
        <v>200</v>
      </c>
      <c r="E48" s="196" t="s">
        <v>193</v>
      </c>
      <c r="F48" s="195" t="s">
        <v>24</v>
      </c>
    </row>
    <row r="49" spans="1:6" x14ac:dyDescent="0.2">
      <c r="A49" s="194" t="s">
        <v>23</v>
      </c>
      <c r="B49" s="195" t="s">
        <v>23</v>
      </c>
      <c r="C49" s="195" t="s">
        <v>23</v>
      </c>
      <c r="D49" s="195" t="s">
        <v>23</v>
      </c>
      <c r="E49" s="196" t="s">
        <v>23</v>
      </c>
      <c r="F49" s="195" t="s">
        <v>24</v>
      </c>
    </row>
    <row r="50" spans="1:6" x14ac:dyDescent="0.2">
      <c r="A50" s="194" t="s">
        <v>23</v>
      </c>
      <c r="B50" s="195" t="s">
        <v>23</v>
      </c>
      <c r="C50" s="195" t="s">
        <v>23</v>
      </c>
      <c r="D50" s="195" t="s">
        <v>23</v>
      </c>
      <c r="E50" s="196" t="s">
        <v>23</v>
      </c>
      <c r="F50" s="195" t="s">
        <v>24</v>
      </c>
    </row>
    <row r="51" spans="1:6" ht="17.25" customHeight="1" x14ac:dyDescent="0.2">
      <c r="A51" s="83"/>
      <c r="B51" s="197" t="s">
        <v>205</v>
      </c>
      <c r="C51" s="198">
        <f ca="1">IF(AND(E41="n.a.",INDIRECT(ADDRESS(ROW(E41)+1,COLUMN(E41)))="n.a."),"n.a.",ROWS(E41:E50)-COUNTIF(E41:E50,"Not Executed")-COUNTIF(E41:E50,"n.a.")-COUNTIF(E41:E50,""))</f>
        <v>0</v>
      </c>
      <c r="D51" s="199" t="s">
        <v>206</v>
      </c>
      <c r="E51" s="200" t="s">
        <v>193</v>
      </c>
      <c r="F51" s="201"/>
    </row>
  </sheetData>
  <mergeCells count="1">
    <mergeCell ref="A1:F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1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7.5703125" style="113" customWidth="1"/>
    <col min="2" max="2" width="22" style="2" customWidth="1"/>
    <col min="3" max="3" width="13.28515625" style="113" customWidth="1"/>
    <col min="4" max="6" width="12.85546875" style="113" customWidth="1"/>
    <col min="7" max="7" width="17.5703125" style="113" customWidth="1"/>
    <col min="8" max="8" width="12.85546875" style="113" customWidth="1"/>
    <col min="9" max="9" width="11.28515625" customWidth="1"/>
  </cols>
  <sheetData>
    <row r="1" spans="1:8" ht="21" x14ac:dyDescent="0.2">
      <c r="A1" s="237" t="s">
        <v>207</v>
      </c>
      <c r="B1" s="238"/>
      <c r="C1" s="238"/>
      <c r="D1" s="238"/>
      <c r="E1" s="238"/>
      <c r="F1" s="238"/>
      <c r="G1" s="238"/>
      <c r="H1" s="239"/>
    </row>
    <row r="2" spans="1:8" ht="13.9" customHeight="1" x14ac:dyDescent="0.2">
      <c r="A2" s="202"/>
      <c r="B2" s="203"/>
      <c r="C2" s="203"/>
      <c r="D2" s="203"/>
      <c r="E2" s="203"/>
      <c r="F2" s="203"/>
      <c r="G2" s="203"/>
      <c r="H2" s="204"/>
    </row>
    <row r="3" spans="1:8" ht="12.75" customHeight="1" x14ac:dyDescent="0.2">
      <c r="A3" s="29" t="s">
        <v>1</v>
      </c>
      <c r="B3" s="30"/>
      <c r="C3" s="30"/>
      <c r="D3" s="30"/>
      <c r="E3" s="30"/>
      <c r="F3" s="30"/>
      <c r="G3" s="30"/>
      <c r="H3" s="31"/>
    </row>
    <row r="4" spans="1:8" ht="12.75" customHeight="1" x14ac:dyDescent="0.2">
      <c r="A4" s="17" t="s">
        <v>2</v>
      </c>
      <c r="B4" s="18"/>
      <c r="C4" s="130" t="s">
        <v>3</v>
      </c>
      <c r="D4" s="2"/>
      <c r="E4" s="2"/>
      <c r="F4" s="18" t="s">
        <v>4</v>
      </c>
      <c r="G4" s="205">
        <v>42865.586736805555</v>
      </c>
      <c r="H4" s="21"/>
    </row>
    <row r="5" spans="1:8" ht="12.75" customHeight="1" x14ac:dyDescent="0.2">
      <c r="A5" s="17" t="s">
        <v>5</v>
      </c>
      <c r="B5" s="18"/>
      <c r="C5" s="136" t="s">
        <v>6</v>
      </c>
      <c r="D5" s="2"/>
      <c r="E5" s="2"/>
      <c r="F5" s="18" t="s">
        <v>7</v>
      </c>
      <c r="G5" s="138" t="s">
        <v>8</v>
      </c>
      <c r="H5" s="20"/>
    </row>
    <row r="6" spans="1:8" ht="12.75" customHeight="1" x14ac:dyDescent="0.2">
      <c r="A6" s="17" t="s">
        <v>9</v>
      </c>
      <c r="B6" s="18"/>
      <c r="C6" s="136" t="s">
        <v>10</v>
      </c>
      <c r="D6" s="2"/>
      <c r="E6" s="2"/>
      <c r="F6" s="18" t="s">
        <v>11</v>
      </c>
      <c r="G6" s="206">
        <v>45015.525102340107</v>
      </c>
      <c r="H6" s="21"/>
    </row>
    <row r="7" spans="1:8" ht="12.75" customHeight="1" x14ac:dyDescent="0.2">
      <c r="A7" s="22" t="s">
        <v>12</v>
      </c>
      <c r="B7" s="23"/>
      <c r="C7" s="207">
        <v>7</v>
      </c>
      <c r="D7" s="25"/>
      <c r="E7" s="25"/>
      <c r="F7" s="23" t="s">
        <v>13</v>
      </c>
      <c r="G7" s="208" t="s">
        <v>14</v>
      </c>
      <c r="H7" s="26"/>
    </row>
    <row r="8" spans="1:8" ht="12.75" customHeight="1" x14ac:dyDescent="0.2">
      <c r="A8" s="209"/>
      <c r="B8"/>
      <c r="C8"/>
      <c r="D8"/>
      <c r="E8"/>
      <c r="F8"/>
      <c r="G8"/>
      <c r="H8" s="210"/>
    </row>
    <row r="9" spans="1:8" ht="13.9" customHeight="1" x14ac:dyDescent="0.25">
      <c r="A9" s="29" t="s">
        <v>208</v>
      </c>
      <c r="B9" s="30"/>
      <c r="C9" s="211" t="s">
        <v>149</v>
      </c>
      <c r="D9" s="30"/>
      <c r="E9" s="30"/>
      <c r="F9" s="30"/>
      <c r="G9" s="30"/>
      <c r="H9" s="212"/>
    </row>
    <row r="11" spans="1:8" ht="12.75" customHeight="1" x14ac:dyDescent="0.2">
      <c r="A11" s="213" t="s">
        <v>16</v>
      </c>
      <c r="B11" s="213" t="s">
        <v>17</v>
      </c>
      <c r="C11" s="214" t="s">
        <v>174</v>
      </c>
      <c r="D11" s="214" t="s">
        <v>165</v>
      </c>
      <c r="E11" s="214" t="s">
        <v>166</v>
      </c>
      <c r="F11" s="214" t="s">
        <v>209</v>
      </c>
      <c r="G11" s="214" t="s">
        <v>210</v>
      </c>
      <c r="H11" s="214" t="s">
        <v>211</v>
      </c>
    </row>
    <row r="12" spans="1:8" ht="12.75" customHeight="1" x14ac:dyDescent="0.2">
      <c r="A12" s="215" t="s">
        <v>23</v>
      </c>
      <c r="B12" s="215" t="s">
        <v>23</v>
      </c>
      <c r="C12" s="216" t="s">
        <v>67</v>
      </c>
      <c r="D12" s="216" t="s">
        <v>168</v>
      </c>
      <c r="E12" s="216" t="s">
        <v>169</v>
      </c>
      <c r="F12" s="216" t="s">
        <v>167</v>
      </c>
      <c r="G12" s="216" t="s">
        <v>70</v>
      </c>
      <c r="H12" s="216" t="s">
        <v>23</v>
      </c>
    </row>
    <row r="13" spans="1:8" ht="12.75" customHeight="1" x14ac:dyDescent="0.2">
      <c r="A13" s="215" t="s">
        <v>23</v>
      </c>
      <c r="B13" s="215" t="s">
        <v>23</v>
      </c>
      <c r="C13" s="216" t="s">
        <v>170</v>
      </c>
      <c r="D13" s="216" t="s">
        <v>170</v>
      </c>
      <c r="E13" s="216" t="s">
        <v>170</v>
      </c>
      <c r="F13" s="216" t="s">
        <v>170</v>
      </c>
      <c r="G13" s="216" t="s">
        <v>170</v>
      </c>
      <c r="H13" s="216" t="s">
        <v>170</v>
      </c>
    </row>
    <row r="14" spans="1:8" ht="12.75" hidden="1" customHeight="1" x14ac:dyDescent="0.2">
      <c r="A14" s="217" t="s">
        <v>23</v>
      </c>
      <c r="B14" s="217" t="s">
        <v>23</v>
      </c>
      <c r="C14" s="218" t="s">
        <v>149</v>
      </c>
      <c r="D14" s="218" t="s">
        <v>149</v>
      </c>
      <c r="E14" s="218" t="s">
        <v>149</v>
      </c>
      <c r="F14" s="218" t="s">
        <v>149</v>
      </c>
      <c r="G14" s="218" t="s">
        <v>149</v>
      </c>
      <c r="H14" s="218" t="s">
        <v>149</v>
      </c>
    </row>
    <row r="15" spans="1:8" ht="12.75" customHeight="1" x14ac:dyDescent="0.2">
      <c r="A15" s="219">
        <v>1</v>
      </c>
      <c r="B15" s="220" t="s">
        <v>24</v>
      </c>
      <c r="C15" s="221">
        <v>0.17016666666666666</v>
      </c>
      <c r="D15" s="221">
        <v>0.69371972846273344</v>
      </c>
      <c r="E15" s="221">
        <v>39.010697729988514</v>
      </c>
      <c r="F15" s="222">
        <v>20.073314721308105</v>
      </c>
      <c r="G15" s="223">
        <v>32.55243172146043</v>
      </c>
      <c r="H15" s="224" t="s">
        <v>180</v>
      </c>
    </row>
    <row r="16" spans="1:8" ht="12.75" customHeight="1" x14ac:dyDescent="0.2">
      <c r="A16" s="225">
        <v>2</v>
      </c>
      <c r="B16" s="226" t="s">
        <v>29</v>
      </c>
      <c r="C16" s="227">
        <v>0.17166666666666666</v>
      </c>
      <c r="D16" s="227">
        <v>1.3698938740860227</v>
      </c>
      <c r="E16" s="227">
        <v>73.714902489066759</v>
      </c>
      <c r="F16" s="228">
        <v>39.782602641775135</v>
      </c>
      <c r="G16" s="229">
        <v>32.508042696583445</v>
      </c>
      <c r="H16" s="230" t="s">
        <v>180</v>
      </c>
    </row>
    <row r="17" spans="1:8" ht="12.75" customHeight="1" x14ac:dyDescent="0.2">
      <c r="A17" s="219">
        <v>3</v>
      </c>
      <c r="B17" s="220" t="s">
        <v>30</v>
      </c>
      <c r="C17" s="221">
        <v>0.17399999999999999</v>
      </c>
      <c r="D17" s="221">
        <v>2.7485716066184356</v>
      </c>
      <c r="E17" s="221">
        <v>137.54195520314667</v>
      </c>
      <c r="F17" s="222">
        <v>79.96863542031393</v>
      </c>
      <c r="G17" s="223">
        <v>32.353945222991186</v>
      </c>
      <c r="H17" s="224" t="s">
        <v>180</v>
      </c>
    </row>
    <row r="18" spans="1:8" ht="12.75" customHeight="1" x14ac:dyDescent="0.2">
      <c r="A18" s="225">
        <v>4</v>
      </c>
      <c r="B18" s="226" t="s">
        <v>31</v>
      </c>
      <c r="C18" s="227">
        <v>0.17583333333333334</v>
      </c>
      <c r="D18" s="227">
        <v>4.1266369493860928</v>
      </c>
      <c r="E18" s="227">
        <v>194.96952132703973</v>
      </c>
      <c r="F18" s="228">
        <v>120.13681811352892</v>
      </c>
      <c r="G18" s="229">
        <v>32.448615565262642</v>
      </c>
      <c r="H18" s="230" t="s">
        <v>212</v>
      </c>
    </row>
    <row r="19" spans="1:8" ht="12.75" customHeight="1" x14ac:dyDescent="0.2">
      <c r="A19" s="219">
        <v>5</v>
      </c>
      <c r="B19" s="220" t="s">
        <v>32</v>
      </c>
      <c r="C19" s="221">
        <v>0.17816666666666667</v>
      </c>
      <c r="D19" s="221">
        <v>5.50659365464002</v>
      </c>
      <c r="E19" s="221">
        <v>244.80883722135221</v>
      </c>
      <c r="F19" s="222">
        <v>160.36013069901375</v>
      </c>
      <c r="G19" s="223">
        <v>32.488682908825979</v>
      </c>
      <c r="H19" s="224" t="s">
        <v>180</v>
      </c>
    </row>
    <row r="20" spans="1:8" ht="12.75" customHeight="1" x14ac:dyDescent="0.2">
      <c r="A20" s="225">
        <v>6</v>
      </c>
      <c r="B20" s="226" t="s">
        <v>33</v>
      </c>
      <c r="C20" s="227">
        <v>0.17983333333333335</v>
      </c>
      <c r="D20" s="227">
        <v>6.8555040667028484</v>
      </c>
      <c r="E20" s="227">
        <v>291.08616775672783</v>
      </c>
      <c r="F20" s="228">
        <v>199.67849840406021</v>
      </c>
      <c r="G20" s="229">
        <v>32.529867055280562</v>
      </c>
      <c r="H20" s="230" t="s">
        <v>212</v>
      </c>
    </row>
    <row r="21" spans="1:8" ht="12.75" customHeight="1" x14ac:dyDescent="0.2">
      <c r="A21" s="219">
        <v>7</v>
      </c>
      <c r="B21" s="220" t="s">
        <v>34</v>
      </c>
      <c r="C21" s="221">
        <v>0.17150000000000001</v>
      </c>
      <c r="D21" s="221">
        <v>5.223043938916363</v>
      </c>
      <c r="E21" s="221">
        <v>278.09369527080958</v>
      </c>
      <c r="F21" s="222">
        <v>152.09515484458697</v>
      </c>
      <c r="G21" s="223">
        <v>33.291527591809484</v>
      </c>
      <c r="H21" s="224" t="s">
        <v>180</v>
      </c>
    </row>
  </sheetData>
  <mergeCells count="1">
    <mergeCell ref="A1:H1"/>
  </mergeCells>
  <pageMargins left="0.50972220000000001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82"/>
  <sheetViews>
    <sheetView showOutlineSymbols="0" zoomScaleNormal="100" zoomScaleSheetLayoutView="100" workbookViewId="0">
      <selection activeCell="B1" sqref="A1:H1"/>
    </sheetView>
  </sheetViews>
  <sheetFormatPr defaultRowHeight="12.75" customHeight="1" x14ac:dyDescent="0.2"/>
  <cols>
    <col min="2" max="2" width="10.28515625" customWidth="1"/>
    <col min="3" max="3" width="23.5703125" customWidth="1"/>
    <col min="4" max="4" width="16.140625" customWidth="1"/>
    <col min="5" max="5" width="12.140625" customWidth="1"/>
    <col min="6" max="6" width="10.28515625" customWidth="1"/>
    <col min="8" max="8" width="13.5703125" customWidth="1"/>
  </cols>
  <sheetData>
    <row r="1" spans="1:8" ht="21" x14ac:dyDescent="0.2">
      <c r="A1" s="237" t="s">
        <v>213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3" customFormat="1" ht="15.6" customHeight="1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ht="13.9" customHeight="1" x14ac:dyDescent="0.2">
      <c r="A4" s="11" t="s">
        <v>38</v>
      </c>
      <c r="B4" s="12"/>
      <c r="C4" s="130" t="s">
        <v>24</v>
      </c>
      <c r="D4" s="14"/>
      <c r="E4" s="12" t="s">
        <v>40</v>
      </c>
      <c r="F4" s="12"/>
      <c r="G4" s="132">
        <v>0.45</v>
      </c>
      <c r="H4" s="44"/>
    </row>
    <row r="5" spans="1:8" ht="13.9" customHeight="1" x14ac:dyDescent="0.2">
      <c r="A5" s="17" t="s">
        <v>41</v>
      </c>
      <c r="B5" s="18"/>
      <c r="C5" s="136" t="s">
        <v>25</v>
      </c>
      <c r="D5" s="2"/>
      <c r="E5" s="18" t="s">
        <v>42</v>
      </c>
      <c r="F5" s="18"/>
      <c r="G5" s="132">
        <v>2</v>
      </c>
      <c r="H5" s="44"/>
    </row>
    <row r="6" spans="1:8" ht="13.9" customHeight="1" x14ac:dyDescent="0.2">
      <c r="A6" s="17" t="s">
        <v>43</v>
      </c>
      <c r="B6" s="18"/>
      <c r="C6" s="136" t="s">
        <v>26</v>
      </c>
      <c r="D6" s="2"/>
      <c r="E6" s="18" t="s">
        <v>44</v>
      </c>
      <c r="F6" s="18"/>
      <c r="G6" s="136" t="s">
        <v>170</v>
      </c>
      <c r="H6" s="20"/>
    </row>
    <row r="7" spans="1:8" ht="13.9" customHeight="1" x14ac:dyDescent="0.2">
      <c r="A7" s="17" t="s">
        <v>46</v>
      </c>
      <c r="B7" s="18"/>
      <c r="C7" s="136" t="s">
        <v>27</v>
      </c>
      <c r="D7" s="2"/>
      <c r="E7" s="18" t="s">
        <v>47</v>
      </c>
      <c r="F7" s="18"/>
      <c r="G7" s="136">
        <v>244</v>
      </c>
      <c r="H7" s="45"/>
    </row>
    <row r="8" spans="1:8" ht="14.45" customHeight="1" x14ac:dyDescent="0.2">
      <c r="A8" s="17" t="s">
        <v>49</v>
      </c>
      <c r="B8" s="18"/>
      <c r="C8" s="136" t="s">
        <v>172</v>
      </c>
      <c r="D8" s="2"/>
      <c r="E8" s="18" t="s">
        <v>50</v>
      </c>
      <c r="F8" s="18"/>
      <c r="G8" s="136">
        <v>4</v>
      </c>
      <c r="H8" s="20"/>
    </row>
    <row r="9" spans="1:8" s="4" customFormat="1" ht="16.899999999999999" customHeight="1" x14ac:dyDescent="0.2">
      <c r="A9" s="17" t="s">
        <v>51</v>
      </c>
      <c r="B9" s="18"/>
      <c r="C9" s="136" t="s">
        <v>172</v>
      </c>
      <c r="D9" s="2"/>
      <c r="E9" s="18" t="s">
        <v>53</v>
      </c>
      <c r="F9" s="18"/>
      <c r="G9" s="140">
        <v>1</v>
      </c>
      <c r="H9" s="47"/>
    </row>
    <row r="10" spans="1:8" s="4" customFormat="1" ht="12.75" customHeight="1" x14ac:dyDescent="0.2">
      <c r="A10" s="22" t="s">
        <v>54</v>
      </c>
      <c r="B10" s="23"/>
      <c r="C10" s="144">
        <v>44754.551724537036</v>
      </c>
      <c r="D10" s="25"/>
      <c r="E10" s="23" t="s">
        <v>55</v>
      </c>
      <c r="F10" s="23"/>
      <c r="G10" s="146">
        <v>1</v>
      </c>
      <c r="H10" s="50"/>
    </row>
    <row r="11" spans="1:8" s="4" customFormat="1" ht="12.75" customHeight="1" x14ac:dyDescent="0.2">
      <c r="A11" s="231"/>
      <c r="B11" s="231"/>
      <c r="C11" s="232"/>
      <c r="F11" s="231"/>
      <c r="G11" s="231"/>
      <c r="H11" s="233"/>
    </row>
    <row r="12" spans="1:8" ht="13.9" customHeight="1" x14ac:dyDescent="0.2"/>
    <row r="13" spans="1:8" ht="12.75" customHeight="1" x14ac:dyDescent="0.2">
      <c r="A13" s="234" t="s">
        <v>214</v>
      </c>
      <c r="B13" s="234" t="s">
        <v>215</v>
      </c>
      <c r="C13" s="234" t="s">
        <v>216</v>
      </c>
      <c r="D13" s="234"/>
    </row>
    <row r="14" spans="1:8" ht="12.75" customHeight="1" x14ac:dyDescent="0.2">
      <c r="A14" s="235" t="s">
        <v>217</v>
      </c>
      <c r="B14" s="235" t="s">
        <v>67</v>
      </c>
      <c r="C14" s="235"/>
      <c r="D14" s="235"/>
    </row>
    <row r="15" spans="1:8" ht="15" customHeight="1" x14ac:dyDescent="0.2">
      <c r="A15" s="236" t="s">
        <v>218</v>
      </c>
      <c r="B15" s="236" t="s">
        <v>23</v>
      </c>
      <c r="C15" s="236" t="s">
        <v>219</v>
      </c>
      <c r="D15" s="236"/>
    </row>
    <row r="16" spans="1:8" ht="15" customHeight="1" x14ac:dyDescent="0.2">
      <c r="A16" s="236" t="s">
        <v>218</v>
      </c>
      <c r="B16" s="236" t="s">
        <v>23</v>
      </c>
      <c r="C16" s="236" t="s">
        <v>220</v>
      </c>
      <c r="D16" s="236"/>
    </row>
    <row r="17" spans="1:4" ht="15" customHeight="1" x14ac:dyDescent="0.2">
      <c r="A17" s="236" t="s">
        <v>218</v>
      </c>
      <c r="B17" s="236" t="s">
        <v>221</v>
      </c>
      <c r="C17" s="236" t="s">
        <v>222</v>
      </c>
      <c r="D17" s="236"/>
    </row>
    <row r="18" spans="1:4" ht="15" customHeight="1" x14ac:dyDescent="0.2">
      <c r="A18" s="236" t="s">
        <v>218</v>
      </c>
      <c r="B18" s="236" t="s">
        <v>221</v>
      </c>
      <c r="C18" s="236" t="s">
        <v>223</v>
      </c>
      <c r="D18" s="236"/>
    </row>
    <row r="19" spans="1:4" ht="15" customHeight="1" x14ac:dyDescent="0.2">
      <c r="A19" s="236" t="s">
        <v>218</v>
      </c>
      <c r="B19" s="236" t="s">
        <v>221</v>
      </c>
      <c r="C19" s="236" t="s">
        <v>224</v>
      </c>
      <c r="D19" s="236"/>
    </row>
    <row r="20" spans="1:4" ht="15" customHeight="1" x14ac:dyDescent="0.2">
      <c r="A20" s="236" t="s">
        <v>218</v>
      </c>
      <c r="B20" s="236" t="s">
        <v>221</v>
      </c>
      <c r="C20" s="236" t="s">
        <v>225</v>
      </c>
      <c r="D20" s="236"/>
    </row>
    <row r="21" spans="1:4" ht="15" customHeight="1" x14ac:dyDescent="0.2">
      <c r="A21" s="236" t="s">
        <v>218</v>
      </c>
      <c r="B21" s="236" t="s">
        <v>221</v>
      </c>
      <c r="C21" s="236" t="s">
        <v>226</v>
      </c>
      <c r="D21" s="236"/>
    </row>
    <row r="22" spans="1:4" ht="15" customHeight="1" x14ac:dyDescent="0.2">
      <c r="A22" s="236" t="s">
        <v>218</v>
      </c>
      <c r="B22" s="236" t="s">
        <v>221</v>
      </c>
      <c r="C22" s="236" t="s">
        <v>227</v>
      </c>
      <c r="D22" s="236"/>
    </row>
    <row r="23" spans="1:4" ht="15" customHeight="1" x14ac:dyDescent="0.2">
      <c r="A23" s="236" t="s">
        <v>218</v>
      </c>
      <c r="B23" s="236" t="s">
        <v>221</v>
      </c>
      <c r="C23" s="236" t="s">
        <v>228</v>
      </c>
      <c r="D23" s="236"/>
    </row>
    <row r="24" spans="1:4" ht="15" customHeight="1" x14ac:dyDescent="0.2">
      <c r="A24" s="236" t="s">
        <v>218</v>
      </c>
      <c r="B24" s="236" t="s">
        <v>221</v>
      </c>
      <c r="C24" s="236" t="s">
        <v>229</v>
      </c>
      <c r="D24" s="236"/>
    </row>
    <row r="25" spans="1:4" ht="15" customHeight="1" x14ac:dyDescent="0.2">
      <c r="A25" s="236" t="s">
        <v>218</v>
      </c>
      <c r="B25" s="236" t="s">
        <v>221</v>
      </c>
      <c r="C25" s="236" t="s">
        <v>230</v>
      </c>
      <c r="D25" s="236"/>
    </row>
    <row r="26" spans="1:4" ht="15" customHeight="1" x14ac:dyDescent="0.2">
      <c r="A26" s="236" t="s">
        <v>218</v>
      </c>
      <c r="B26" s="236" t="s">
        <v>221</v>
      </c>
      <c r="C26" s="236" t="s">
        <v>231</v>
      </c>
      <c r="D26" s="236"/>
    </row>
    <row r="27" spans="1:4" ht="15" customHeight="1" x14ac:dyDescent="0.2">
      <c r="A27" s="236" t="s">
        <v>218</v>
      </c>
      <c r="B27" s="236" t="s">
        <v>221</v>
      </c>
      <c r="C27" s="236" t="s">
        <v>232</v>
      </c>
      <c r="D27" s="236"/>
    </row>
    <row r="28" spans="1:4" ht="15" customHeight="1" x14ac:dyDescent="0.2">
      <c r="A28" s="236" t="s">
        <v>218</v>
      </c>
      <c r="B28" s="236" t="s">
        <v>221</v>
      </c>
      <c r="C28" s="236" t="s">
        <v>233</v>
      </c>
      <c r="D28" s="236"/>
    </row>
    <row r="29" spans="1:4" ht="15" customHeight="1" x14ac:dyDescent="0.2">
      <c r="A29" s="236" t="s">
        <v>218</v>
      </c>
      <c r="B29" s="236" t="s">
        <v>221</v>
      </c>
      <c r="C29" s="236" t="s">
        <v>234</v>
      </c>
      <c r="D29" s="236"/>
    </row>
    <row r="30" spans="1:4" ht="15" customHeight="1" x14ac:dyDescent="0.2">
      <c r="A30" s="236" t="s">
        <v>218</v>
      </c>
      <c r="B30" s="236" t="s">
        <v>221</v>
      </c>
      <c r="C30" s="236" t="s">
        <v>235</v>
      </c>
      <c r="D30" s="236"/>
    </row>
    <row r="31" spans="1:4" ht="15" customHeight="1" x14ac:dyDescent="0.2">
      <c r="A31" s="236" t="s">
        <v>218</v>
      </c>
      <c r="B31" s="236" t="s">
        <v>221</v>
      </c>
      <c r="C31" s="236" t="s">
        <v>236</v>
      </c>
      <c r="D31" s="236"/>
    </row>
    <row r="32" spans="1:4" ht="15" customHeight="1" x14ac:dyDescent="0.2">
      <c r="A32" s="236" t="s">
        <v>218</v>
      </c>
      <c r="B32" s="236" t="s">
        <v>221</v>
      </c>
      <c r="C32" s="236" t="s">
        <v>237</v>
      </c>
      <c r="D32" s="236"/>
    </row>
    <row r="33" spans="1:4" ht="15" customHeight="1" x14ac:dyDescent="0.2">
      <c r="A33" s="236" t="s">
        <v>218</v>
      </c>
      <c r="B33" s="236" t="s">
        <v>221</v>
      </c>
      <c r="C33" s="236" t="s">
        <v>238</v>
      </c>
      <c r="D33" s="236"/>
    </row>
    <row r="34" spans="1:4" ht="15" customHeight="1" x14ac:dyDescent="0.2">
      <c r="A34" s="236" t="s">
        <v>218</v>
      </c>
      <c r="B34" s="236" t="s">
        <v>221</v>
      </c>
      <c r="C34" s="236" t="s">
        <v>239</v>
      </c>
      <c r="D34" s="236"/>
    </row>
    <row r="35" spans="1:4" ht="15" customHeight="1" x14ac:dyDescent="0.2">
      <c r="A35" s="236" t="s">
        <v>218</v>
      </c>
      <c r="B35" s="236" t="s">
        <v>221</v>
      </c>
      <c r="C35" s="236" t="s">
        <v>240</v>
      </c>
      <c r="D35" s="236"/>
    </row>
    <row r="36" spans="1:4" ht="15" customHeight="1" x14ac:dyDescent="0.2">
      <c r="A36" s="236" t="s">
        <v>218</v>
      </c>
      <c r="B36" s="236" t="s">
        <v>221</v>
      </c>
      <c r="C36" s="236" t="s">
        <v>241</v>
      </c>
      <c r="D36" s="236"/>
    </row>
    <row r="37" spans="1:4" ht="15" customHeight="1" x14ac:dyDescent="0.2">
      <c r="A37" s="236" t="s">
        <v>218</v>
      </c>
      <c r="B37" s="236" t="s">
        <v>221</v>
      </c>
      <c r="C37" s="236" t="s">
        <v>242</v>
      </c>
      <c r="D37" s="236"/>
    </row>
    <row r="38" spans="1:4" ht="15" customHeight="1" x14ac:dyDescent="0.2">
      <c r="A38" s="236" t="s">
        <v>218</v>
      </c>
      <c r="B38" s="236" t="s">
        <v>221</v>
      </c>
      <c r="C38" s="236" t="s">
        <v>243</v>
      </c>
      <c r="D38" s="236"/>
    </row>
    <row r="39" spans="1:4" ht="15" customHeight="1" x14ac:dyDescent="0.2">
      <c r="A39" s="236" t="s">
        <v>218</v>
      </c>
      <c r="B39" s="236" t="s">
        <v>221</v>
      </c>
      <c r="C39" s="236" t="s">
        <v>244</v>
      </c>
      <c r="D39" s="236"/>
    </row>
    <row r="40" spans="1:4" ht="15" customHeight="1" x14ac:dyDescent="0.2">
      <c r="A40" s="236" t="s">
        <v>218</v>
      </c>
      <c r="B40" s="236" t="s">
        <v>221</v>
      </c>
      <c r="C40" s="236" t="s">
        <v>245</v>
      </c>
      <c r="D40" s="236"/>
    </row>
    <row r="41" spans="1:4" ht="15" customHeight="1" x14ac:dyDescent="0.2">
      <c r="A41" s="236" t="s">
        <v>218</v>
      </c>
      <c r="B41" s="236" t="s">
        <v>221</v>
      </c>
      <c r="C41" s="236" t="s">
        <v>246</v>
      </c>
      <c r="D41" s="236"/>
    </row>
    <row r="42" spans="1:4" ht="15" customHeight="1" x14ac:dyDescent="0.2">
      <c r="A42" s="236" t="s">
        <v>218</v>
      </c>
      <c r="B42" s="236" t="s">
        <v>221</v>
      </c>
      <c r="C42" s="236" t="s">
        <v>247</v>
      </c>
      <c r="D42" s="236"/>
    </row>
    <row r="43" spans="1:4" ht="15" customHeight="1" x14ac:dyDescent="0.2">
      <c r="A43" s="236" t="s">
        <v>248</v>
      </c>
      <c r="B43" s="236" t="s">
        <v>221</v>
      </c>
      <c r="C43" s="236" t="s">
        <v>249</v>
      </c>
      <c r="D43" s="236"/>
    </row>
    <row r="44" spans="1:4" ht="15" customHeight="1" x14ac:dyDescent="0.2">
      <c r="A44" s="236" t="s">
        <v>248</v>
      </c>
      <c r="B44" s="236" t="s">
        <v>221</v>
      </c>
      <c r="C44" s="236" t="s">
        <v>250</v>
      </c>
      <c r="D44" s="236"/>
    </row>
    <row r="45" spans="1:4" ht="15" customHeight="1" x14ac:dyDescent="0.2">
      <c r="A45" s="236" t="s">
        <v>248</v>
      </c>
      <c r="B45" s="236" t="s">
        <v>221</v>
      </c>
      <c r="C45" s="236" t="s">
        <v>251</v>
      </c>
      <c r="D45" s="236"/>
    </row>
    <row r="46" spans="1:4" ht="15" customHeight="1" x14ac:dyDescent="0.2">
      <c r="A46" s="236" t="s">
        <v>248</v>
      </c>
      <c r="B46" s="236" t="s">
        <v>221</v>
      </c>
      <c r="C46" s="236" t="s">
        <v>252</v>
      </c>
      <c r="D46" s="236"/>
    </row>
    <row r="47" spans="1:4" ht="15" customHeight="1" x14ac:dyDescent="0.2">
      <c r="A47" s="236" t="s">
        <v>248</v>
      </c>
      <c r="B47" s="236" t="s">
        <v>221</v>
      </c>
      <c r="C47" s="236" t="s">
        <v>253</v>
      </c>
      <c r="D47" s="236"/>
    </row>
    <row r="48" spans="1:4" ht="15" customHeight="1" x14ac:dyDescent="0.2">
      <c r="A48" s="236" t="s">
        <v>248</v>
      </c>
      <c r="B48" s="236" t="s">
        <v>221</v>
      </c>
      <c r="C48" s="236" t="s">
        <v>254</v>
      </c>
      <c r="D48" s="236"/>
    </row>
    <row r="49" spans="1:4" ht="15" customHeight="1" x14ac:dyDescent="0.2">
      <c r="A49" s="236" t="s">
        <v>255</v>
      </c>
      <c r="B49" s="236" t="s">
        <v>221</v>
      </c>
      <c r="C49" s="236" t="s">
        <v>256</v>
      </c>
      <c r="D49" s="236"/>
    </row>
    <row r="50" spans="1:4" ht="15" customHeight="1" x14ac:dyDescent="0.2">
      <c r="A50" s="236" t="s">
        <v>255</v>
      </c>
      <c r="B50" s="236" t="s">
        <v>221</v>
      </c>
      <c r="C50" s="236" t="s">
        <v>257</v>
      </c>
      <c r="D50" s="236"/>
    </row>
    <row r="51" spans="1:4" ht="15" customHeight="1" x14ac:dyDescent="0.2">
      <c r="A51" s="236" t="s">
        <v>255</v>
      </c>
      <c r="B51" s="236" t="s">
        <v>221</v>
      </c>
      <c r="C51" s="236" t="s">
        <v>258</v>
      </c>
      <c r="D51" s="236"/>
    </row>
    <row r="52" spans="1:4" ht="15" customHeight="1" x14ac:dyDescent="0.2">
      <c r="A52" s="236" t="s">
        <v>255</v>
      </c>
      <c r="B52" s="236" t="s">
        <v>221</v>
      </c>
      <c r="C52" s="236" t="s">
        <v>259</v>
      </c>
      <c r="D52" s="236"/>
    </row>
    <row r="53" spans="1:4" ht="15" customHeight="1" x14ac:dyDescent="0.2">
      <c r="A53" s="236" t="s">
        <v>255</v>
      </c>
      <c r="B53" s="236" t="s">
        <v>221</v>
      </c>
      <c r="C53" s="236" t="s">
        <v>260</v>
      </c>
      <c r="D53" s="236"/>
    </row>
    <row r="54" spans="1:4" ht="15" customHeight="1" x14ac:dyDescent="0.2">
      <c r="A54" s="236" t="s">
        <v>255</v>
      </c>
      <c r="B54" s="236" t="s">
        <v>221</v>
      </c>
      <c r="C54" s="236" t="s">
        <v>261</v>
      </c>
      <c r="D54" s="236"/>
    </row>
    <row r="55" spans="1:4" ht="15" customHeight="1" x14ac:dyDescent="0.2">
      <c r="A55" s="236" t="s">
        <v>255</v>
      </c>
      <c r="B55" s="236" t="s">
        <v>221</v>
      </c>
      <c r="C55" s="236" t="s">
        <v>262</v>
      </c>
      <c r="D55" s="236"/>
    </row>
    <row r="56" spans="1:4" ht="15" customHeight="1" x14ac:dyDescent="0.2">
      <c r="A56" s="236" t="s">
        <v>255</v>
      </c>
      <c r="B56" s="236" t="s">
        <v>221</v>
      </c>
      <c r="C56" s="236" t="s">
        <v>263</v>
      </c>
      <c r="D56" s="236"/>
    </row>
    <row r="57" spans="1:4" ht="15" customHeight="1" x14ac:dyDescent="0.2">
      <c r="A57" s="236" t="s">
        <v>255</v>
      </c>
      <c r="B57" s="236" t="s">
        <v>221</v>
      </c>
      <c r="C57" s="236" t="s">
        <v>264</v>
      </c>
      <c r="D57" s="236"/>
    </row>
    <row r="58" spans="1:4" ht="15" customHeight="1" x14ac:dyDescent="0.2">
      <c r="A58" s="236" t="s">
        <v>255</v>
      </c>
      <c r="B58" s="236" t="s">
        <v>221</v>
      </c>
      <c r="C58" s="236" t="s">
        <v>265</v>
      </c>
      <c r="D58" s="236"/>
    </row>
    <row r="59" spans="1:4" ht="15" customHeight="1" x14ac:dyDescent="0.2">
      <c r="A59" s="236" t="s">
        <v>255</v>
      </c>
      <c r="B59" s="236" t="s">
        <v>221</v>
      </c>
      <c r="C59" s="236" t="s">
        <v>266</v>
      </c>
      <c r="D59" s="236"/>
    </row>
    <row r="60" spans="1:4" ht="15" customHeight="1" x14ac:dyDescent="0.2">
      <c r="A60" s="236" t="s">
        <v>255</v>
      </c>
      <c r="B60" s="236" t="s">
        <v>221</v>
      </c>
      <c r="C60" s="236" t="s">
        <v>267</v>
      </c>
      <c r="D60" s="236"/>
    </row>
    <row r="61" spans="1:4" ht="15" customHeight="1" x14ac:dyDescent="0.2">
      <c r="A61" s="236" t="s">
        <v>268</v>
      </c>
      <c r="B61" s="236" t="s">
        <v>269</v>
      </c>
      <c r="C61" s="236" t="s">
        <v>262</v>
      </c>
      <c r="D61" s="236"/>
    </row>
    <row r="62" spans="1:4" ht="15" customHeight="1" x14ac:dyDescent="0.2">
      <c r="A62" s="236" t="s">
        <v>268</v>
      </c>
      <c r="B62" s="236" t="s">
        <v>269</v>
      </c>
      <c r="C62" s="236" t="s">
        <v>270</v>
      </c>
      <c r="D62" s="236"/>
    </row>
    <row r="63" spans="1:4" ht="15" customHeight="1" x14ac:dyDescent="0.2">
      <c r="A63" s="236" t="s">
        <v>268</v>
      </c>
      <c r="B63" s="236" t="s">
        <v>269</v>
      </c>
      <c r="C63" s="236" t="s">
        <v>264</v>
      </c>
      <c r="D63" s="236"/>
    </row>
    <row r="64" spans="1:4" ht="15" customHeight="1" x14ac:dyDescent="0.2">
      <c r="A64" s="236" t="s">
        <v>268</v>
      </c>
      <c r="B64" s="236" t="s">
        <v>269</v>
      </c>
      <c r="C64" s="236" t="s">
        <v>265</v>
      </c>
      <c r="D64" s="236"/>
    </row>
    <row r="65" spans="1:4" ht="15" customHeight="1" x14ac:dyDescent="0.2">
      <c r="A65" s="236" t="s">
        <v>268</v>
      </c>
      <c r="B65" s="236" t="s">
        <v>269</v>
      </c>
      <c r="C65" s="236" t="s">
        <v>266</v>
      </c>
      <c r="D65" s="236"/>
    </row>
    <row r="66" spans="1:4" ht="15" customHeight="1" x14ac:dyDescent="0.2">
      <c r="A66" s="236" t="s">
        <v>271</v>
      </c>
      <c r="B66" s="236" t="s">
        <v>272</v>
      </c>
      <c r="C66" s="236" t="s">
        <v>262</v>
      </c>
      <c r="D66" s="236"/>
    </row>
    <row r="67" spans="1:4" ht="15" customHeight="1" x14ac:dyDescent="0.2">
      <c r="A67" s="236" t="s">
        <v>271</v>
      </c>
      <c r="B67" s="236" t="s">
        <v>272</v>
      </c>
      <c r="C67" s="236" t="s">
        <v>270</v>
      </c>
      <c r="D67" s="236"/>
    </row>
    <row r="68" spans="1:4" ht="15" customHeight="1" x14ac:dyDescent="0.2">
      <c r="A68" s="236" t="s">
        <v>271</v>
      </c>
      <c r="B68" s="236" t="s">
        <v>272</v>
      </c>
      <c r="C68" s="236" t="s">
        <v>264</v>
      </c>
      <c r="D68" s="236"/>
    </row>
    <row r="69" spans="1:4" ht="15" customHeight="1" x14ac:dyDescent="0.2">
      <c r="A69" s="236" t="s">
        <v>271</v>
      </c>
      <c r="B69" s="236" t="s">
        <v>272</v>
      </c>
      <c r="C69" s="236" t="s">
        <v>265</v>
      </c>
      <c r="D69" s="236"/>
    </row>
    <row r="70" spans="1:4" ht="15" customHeight="1" x14ac:dyDescent="0.2">
      <c r="A70" s="236" t="s">
        <v>271</v>
      </c>
      <c r="B70" s="236" t="s">
        <v>272</v>
      </c>
      <c r="C70" s="236" t="s">
        <v>266</v>
      </c>
      <c r="D70" s="236"/>
    </row>
    <row r="71" spans="1:4" ht="15" customHeight="1" x14ac:dyDescent="0.2">
      <c r="A71" s="236" t="s">
        <v>271</v>
      </c>
      <c r="B71" s="236" t="s">
        <v>272</v>
      </c>
      <c r="C71" s="236" t="s">
        <v>273</v>
      </c>
      <c r="D71" s="236"/>
    </row>
    <row r="72" spans="1:4" ht="15" customHeight="1" x14ac:dyDescent="0.2">
      <c r="A72" s="236" t="s">
        <v>271</v>
      </c>
      <c r="B72" s="236" t="s">
        <v>272</v>
      </c>
      <c r="C72" s="236" t="s">
        <v>274</v>
      </c>
      <c r="D72" s="236"/>
    </row>
    <row r="73" spans="1:4" ht="15" customHeight="1" x14ac:dyDescent="0.2">
      <c r="A73" s="236" t="s">
        <v>271</v>
      </c>
      <c r="B73" s="236" t="s">
        <v>272</v>
      </c>
      <c r="C73" s="236" t="s">
        <v>275</v>
      </c>
      <c r="D73" s="236"/>
    </row>
    <row r="74" spans="1:4" ht="15" customHeight="1" x14ac:dyDescent="0.2">
      <c r="A74" s="236" t="s">
        <v>271</v>
      </c>
      <c r="B74" s="236" t="s">
        <v>272</v>
      </c>
      <c r="C74" s="236" t="s">
        <v>276</v>
      </c>
      <c r="D74" s="236"/>
    </row>
    <row r="75" spans="1:4" ht="15" customHeight="1" x14ac:dyDescent="0.2">
      <c r="A75" s="236" t="s">
        <v>271</v>
      </c>
      <c r="B75" s="236" t="s">
        <v>272</v>
      </c>
      <c r="C75" s="236" t="s">
        <v>277</v>
      </c>
      <c r="D75" s="236"/>
    </row>
    <row r="76" spans="1:4" ht="15" customHeight="1" x14ac:dyDescent="0.2">
      <c r="A76" s="236" t="s">
        <v>271</v>
      </c>
      <c r="B76" s="236" t="s">
        <v>278</v>
      </c>
      <c r="C76" s="236" t="s">
        <v>279</v>
      </c>
      <c r="D76" s="236"/>
    </row>
    <row r="77" spans="1:4" ht="15" customHeight="1" x14ac:dyDescent="0.2">
      <c r="A77" s="236" t="s">
        <v>271</v>
      </c>
      <c r="B77" s="236" t="s">
        <v>278</v>
      </c>
      <c r="C77" s="236" t="s">
        <v>280</v>
      </c>
      <c r="D77" s="236"/>
    </row>
    <row r="78" spans="1:4" ht="15" customHeight="1" x14ac:dyDescent="0.2">
      <c r="A78" s="236" t="s">
        <v>271</v>
      </c>
      <c r="B78" s="236" t="s">
        <v>278</v>
      </c>
      <c r="C78" s="236" t="s">
        <v>280</v>
      </c>
      <c r="D78" s="236"/>
    </row>
    <row r="79" spans="1:4" ht="15" customHeight="1" x14ac:dyDescent="0.2">
      <c r="A79" s="236" t="s">
        <v>271</v>
      </c>
      <c r="B79" s="236" t="s">
        <v>278</v>
      </c>
      <c r="C79" s="236" t="s">
        <v>280</v>
      </c>
      <c r="D79" s="236"/>
    </row>
    <row r="80" spans="1:4" ht="15" customHeight="1" x14ac:dyDescent="0.2">
      <c r="A80" s="236" t="s">
        <v>271</v>
      </c>
      <c r="B80" s="236" t="s">
        <v>23</v>
      </c>
      <c r="C80" s="236" t="s">
        <v>281</v>
      </c>
      <c r="D80" s="236"/>
    </row>
    <row r="81" spans="1:4" ht="15" customHeight="1" x14ac:dyDescent="0.2">
      <c r="A81" s="236" t="s">
        <v>271</v>
      </c>
      <c r="B81" s="236" t="s">
        <v>23</v>
      </c>
      <c r="C81" s="236" t="s">
        <v>282</v>
      </c>
      <c r="D81" s="236"/>
    </row>
    <row r="82" spans="1:4" ht="15" customHeight="1" x14ac:dyDescent="0.2">
      <c r="A82" s="236" t="s">
        <v>271</v>
      </c>
      <c r="B82" s="236" t="s">
        <v>23</v>
      </c>
      <c r="C82" s="236" t="s">
        <v>283</v>
      </c>
      <c r="D82" s="236"/>
    </row>
    <row r="83" spans="1:4" ht="12.75" customHeight="1" x14ac:dyDescent="0.2">
      <c r="A83" s="41"/>
      <c r="B83" s="41"/>
      <c r="C83" s="41"/>
      <c r="D83" s="41"/>
    </row>
    <row r="97" customFormat="1" ht="12.75" customHeight="1" x14ac:dyDescent="0.2"/>
    <row r="98" customFormat="1" ht="12.75" customHeight="1" x14ac:dyDescent="0.2"/>
    <row r="99" customFormat="1" ht="12.75" customHeight="1" x14ac:dyDescent="0.2"/>
    <row r="100" customFormat="1" ht="12.75" customHeight="1" x14ac:dyDescent="0.2"/>
    <row r="101" customFormat="1" ht="12.75" customHeight="1" x14ac:dyDescent="0.2"/>
    <row r="102" customFormat="1" ht="12.75" customHeight="1" x14ac:dyDescent="0.2"/>
    <row r="103" customFormat="1" ht="12.75" customHeight="1" x14ac:dyDescent="0.2"/>
    <row r="104" customFormat="1" ht="12.75" customHeight="1" x14ac:dyDescent="0.2"/>
    <row r="105" customFormat="1" ht="12.75" customHeight="1" x14ac:dyDescent="0.2"/>
    <row r="106" customFormat="1" ht="12.75" customHeight="1" x14ac:dyDescent="0.2"/>
    <row r="107" customFormat="1" ht="12.75" customHeight="1" x14ac:dyDescent="0.2"/>
    <row r="108" customFormat="1" ht="12.75" customHeight="1" x14ac:dyDescent="0.2"/>
    <row r="109" customFormat="1" ht="12.75" customHeight="1" x14ac:dyDescent="0.2"/>
    <row r="110" customFormat="1" ht="12.75" customHeight="1" x14ac:dyDescent="0.2"/>
    <row r="111" customFormat="1" ht="12.75" customHeight="1" x14ac:dyDescent="0.2"/>
    <row r="112" customFormat="1" ht="12.75" customHeight="1" x14ac:dyDescent="0.2"/>
    <row r="113" customFormat="1" ht="12.75" customHeight="1" x14ac:dyDescent="0.2"/>
    <row r="114" customFormat="1" ht="12.75" customHeight="1" x14ac:dyDescent="0.2"/>
    <row r="115" customFormat="1" ht="12.75" customHeight="1" x14ac:dyDescent="0.2"/>
    <row r="116" customFormat="1" ht="12.75" customHeight="1" x14ac:dyDescent="0.2"/>
    <row r="117" customFormat="1" ht="12.75" customHeight="1" x14ac:dyDescent="0.2"/>
    <row r="118" customFormat="1" ht="12.75" customHeight="1" x14ac:dyDescent="0.2"/>
    <row r="119" customFormat="1" ht="12.75" customHeight="1" x14ac:dyDescent="0.2"/>
    <row r="120" customFormat="1" ht="12.75" customHeight="1" x14ac:dyDescent="0.2"/>
    <row r="121" customFormat="1" ht="12.75" customHeight="1" x14ac:dyDescent="0.2"/>
    <row r="122" customFormat="1" ht="12.75" customHeight="1" x14ac:dyDescent="0.2"/>
    <row r="123" customFormat="1" ht="12.75" customHeight="1" x14ac:dyDescent="0.2"/>
    <row r="124" customFormat="1" ht="12.75" customHeight="1" x14ac:dyDescent="0.2"/>
    <row r="125" customFormat="1" ht="12.75" customHeight="1" x14ac:dyDescent="0.2"/>
    <row r="126" customFormat="1" ht="12.75" customHeight="1" x14ac:dyDescent="0.2"/>
    <row r="127" customFormat="1" ht="12.75" customHeight="1" x14ac:dyDescent="0.2"/>
    <row r="128" customFormat="1" ht="12.75" customHeight="1" x14ac:dyDescent="0.2"/>
    <row r="129" customFormat="1" ht="12.75" customHeight="1" x14ac:dyDescent="0.2"/>
    <row r="130" customFormat="1" ht="12.75" customHeight="1" x14ac:dyDescent="0.2"/>
    <row r="131" customFormat="1" ht="12.75" customHeight="1" x14ac:dyDescent="0.2"/>
    <row r="132" customFormat="1" ht="12.75" customHeight="1" x14ac:dyDescent="0.2"/>
    <row r="133" customFormat="1" ht="12.75" customHeight="1" x14ac:dyDescent="0.2"/>
    <row r="134" customFormat="1" ht="12.75" customHeight="1" x14ac:dyDescent="0.2"/>
    <row r="135" customFormat="1" ht="12.75" customHeight="1" x14ac:dyDescent="0.2"/>
    <row r="136" customFormat="1" ht="12.75" customHeight="1" x14ac:dyDescent="0.2"/>
    <row r="137" customFormat="1" ht="12.75" customHeight="1" x14ac:dyDescent="0.2"/>
    <row r="138" customFormat="1" ht="12.75" customHeight="1" x14ac:dyDescent="0.2"/>
    <row r="139" customFormat="1" ht="12.75" customHeight="1" x14ac:dyDescent="0.2"/>
    <row r="140" customFormat="1" ht="12.75" customHeight="1" x14ac:dyDescent="0.2"/>
    <row r="141" customFormat="1" ht="12.75" customHeight="1" x14ac:dyDescent="0.2"/>
    <row r="142" customFormat="1" ht="12.75" customHeight="1" x14ac:dyDescent="0.2"/>
    <row r="143" customFormat="1" ht="12.75" customHeight="1" x14ac:dyDescent="0.2"/>
    <row r="144" customFormat="1" ht="12.75" customHeight="1" x14ac:dyDescent="0.2"/>
    <row r="145" customFormat="1" ht="12.75" customHeight="1" x14ac:dyDescent="0.2"/>
    <row r="146" customFormat="1" ht="12.75" customHeight="1" x14ac:dyDescent="0.2"/>
    <row r="147" customFormat="1" ht="12.75" customHeight="1" x14ac:dyDescent="0.2"/>
    <row r="148" customFormat="1" ht="12.75" customHeight="1" x14ac:dyDescent="0.2"/>
    <row r="149" customFormat="1" ht="12.75" customHeight="1" x14ac:dyDescent="0.2"/>
    <row r="150" customFormat="1" ht="12.75" customHeight="1" x14ac:dyDescent="0.2"/>
    <row r="151" customFormat="1" ht="12.75" customHeight="1" x14ac:dyDescent="0.2"/>
    <row r="152" customFormat="1" ht="12.75" customHeight="1" x14ac:dyDescent="0.2"/>
    <row r="153" customFormat="1" ht="12.75" customHeight="1" x14ac:dyDescent="0.2"/>
    <row r="154" customFormat="1" ht="12.75" customHeight="1" x14ac:dyDescent="0.2"/>
    <row r="155" customFormat="1" ht="12.75" customHeight="1" x14ac:dyDescent="0.2"/>
    <row r="156" customFormat="1" ht="12.75" customHeight="1" x14ac:dyDescent="0.2"/>
    <row r="157" customFormat="1" ht="12.75" customHeight="1" x14ac:dyDescent="0.2"/>
    <row r="158" customFormat="1" ht="12.75" customHeight="1" x14ac:dyDescent="0.2"/>
    <row r="159" customFormat="1" ht="12.75" customHeight="1" x14ac:dyDescent="0.2"/>
    <row r="160" customFormat="1" ht="12.75" customHeight="1" x14ac:dyDescent="0.2"/>
    <row r="161" customFormat="1" ht="12.75" customHeight="1" x14ac:dyDescent="0.2"/>
    <row r="162" customFormat="1" ht="12.75" customHeight="1" x14ac:dyDescent="0.2"/>
    <row r="163" customFormat="1" ht="12.75" customHeight="1" x14ac:dyDescent="0.2"/>
    <row r="164" customFormat="1" ht="12.75" customHeight="1" x14ac:dyDescent="0.2"/>
    <row r="165" customFormat="1" ht="12.75" customHeight="1" x14ac:dyDescent="0.2"/>
    <row r="166" customFormat="1" ht="12.75" customHeight="1" x14ac:dyDescent="0.2"/>
    <row r="167" customFormat="1" ht="12.75" customHeight="1" x14ac:dyDescent="0.2"/>
    <row r="168" customFormat="1" ht="12.75" customHeight="1" x14ac:dyDescent="0.2"/>
    <row r="169" customFormat="1" ht="12.75" customHeight="1" x14ac:dyDescent="0.2"/>
    <row r="170" customFormat="1" ht="12.75" customHeight="1" x14ac:dyDescent="0.2"/>
    <row r="171" customFormat="1" ht="12.75" customHeight="1" x14ac:dyDescent="0.2"/>
    <row r="172" customFormat="1" ht="12.75" customHeight="1" x14ac:dyDescent="0.2"/>
    <row r="173" customFormat="1" ht="12.75" customHeight="1" x14ac:dyDescent="0.2"/>
    <row r="174" customFormat="1" ht="12.75" customHeight="1" x14ac:dyDescent="0.2"/>
    <row r="175" customFormat="1" ht="12.75" customHeight="1" x14ac:dyDescent="0.2"/>
    <row r="176" customFormat="1" ht="12.75" customHeight="1" x14ac:dyDescent="0.2"/>
    <row r="177" customFormat="1" ht="12.75" customHeight="1" x14ac:dyDescent="0.2"/>
    <row r="178" customFormat="1" ht="12.75" customHeight="1" x14ac:dyDescent="0.2"/>
    <row r="179" customFormat="1" ht="12.75" customHeight="1" x14ac:dyDescent="0.2"/>
    <row r="180" customFormat="1" ht="12.75" customHeight="1" x14ac:dyDescent="0.2"/>
    <row r="181" customFormat="1" ht="12.75" customHeight="1" x14ac:dyDescent="0.2"/>
    <row r="182" customFormat="1" ht="12.75" customHeight="1" x14ac:dyDescent="0.2"/>
    <row r="183" customFormat="1" ht="12.75" customHeight="1" x14ac:dyDescent="0.2"/>
    <row r="184" customFormat="1" ht="12.75" customHeight="1" x14ac:dyDescent="0.2"/>
    <row r="185" customFormat="1" ht="12.75" customHeight="1" x14ac:dyDescent="0.2"/>
    <row r="186" customFormat="1" ht="12.75" customHeight="1" x14ac:dyDescent="0.2"/>
    <row r="187" customFormat="1" ht="12.75" customHeight="1" x14ac:dyDescent="0.2"/>
    <row r="188" customFormat="1" ht="12.75" customHeight="1" x14ac:dyDescent="0.2"/>
    <row r="189" customFormat="1" ht="12.75" customHeight="1" x14ac:dyDescent="0.2"/>
    <row r="190" customFormat="1" ht="12.75" customHeight="1" x14ac:dyDescent="0.2"/>
    <row r="191" customFormat="1" ht="12.75" customHeight="1" x14ac:dyDescent="0.2"/>
    <row r="192" customFormat="1" ht="12.75" customHeight="1" x14ac:dyDescent="0.2"/>
    <row r="193" customFormat="1" ht="12.75" customHeight="1" x14ac:dyDescent="0.2"/>
    <row r="194" customFormat="1" ht="12.75" customHeight="1" x14ac:dyDescent="0.2"/>
    <row r="195" customFormat="1" ht="12.75" customHeight="1" x14ac:dyDescent="0.2"/>
    <row r="196" customFormat="1" ht="12.75" customHeight="1" x14ac:dyDescent="0.2"/>
    <row r="197" customFormat="1" ht="12.75" customHeight="1" x14ac:dyDescent="0.2"/>
    <row r="198" customFormat="1" ht="12.75" customHeight="1" x14ac:dyDescent="0.2"/>
    <row r="199" customFormat="1" ht="12.75" customHeight="1" x14ac:dyDescent="0.2"/>
    <row r="200" customFormat="1" ht="12.75" customHeight="1" x14ac:dyDescent="0.2"/>
    <row r="201" customFormat="1" ht="12.75" customHeight="1" x14ac:dyDescent="0.2"/>
    <row r="202" customFormat="1" ht="12.75" customHeight="1" x14ac:dyDescent="0.2"/>
    <row r="203" customFormat="1" ht="12.75" customHeight="1" x14ac:dyDescent="0.2"/>
    <row r="204" customFormat="1" ht="12.75" customHeight="1" x14ac:dyDescent="0.2"/>
    <row r="205" customFormat="1" ht="12.75" customHeight="1" x14ac:dyDescent="0.2"/>
    <row r="206" customFormat="1" ht="12.75" customHeight="1" x14ac:dyDescent="0.2"/>
    <row r="207" customFormat="1" ht="12.75" customHeight="1" x14ac:dyDescent="0.2"/>
    <row r="208" customFormat="1" ht="12.75" customHeight="1" x14ac:dyDescent="0.2"/>
    <row r="209" customFormat="1" ht="12.75" customHeight="1" x14ac:dyDescent="0.2"/>
    <row r="210" customFormat="1" ht="12.75" customHeight="1" x14ac:dyDescent="0.2"/>
    <row r="211" customFormat="1" ht="12.75" customHeight="1" x14ac:dyDescent="0.2"/>
    <row r="212" customFormat="1" ht="12.75" customHeight="1" x14ac:dyDescent="0.2"/>
    <row r="213" customFormat="1" ht="12.75" customHeight="1" x14ac:dyDescent="0.2"/>
    <row r="214" customFormat="1" ht="12.75" customHeight="1" x14ac:dyDescent="0.2"/>
    <row r="215" customFormat="1" ht="12.75" customHeight="1" x14ac:dyDescent="0.2"/>
    <row r="216" customFormat="1" ht="12.75" customHeight="1" x14ac:dyDescent="0.2"/>
    <row r="217" customFormat="1" ht="12.75" customHeight="1" x14ac:dyDescent="0.2"/>
    <row r="218" customFormat="1" ht="12.75" customHeight="1" x14ac:dyDescent="0.2"/>
    <row r="219" customFormat="1" ht="12.75" customHeight="1" x14ac:dyDescent="0.2"/>
    <row r="220" customFormat="1" ht="12.75" customHeight="1" x14ac:dyDescent="0.2"/>
    <row r="221" customFormat="1" ht="12.75" customHeight="1" x14ac:dyDescent="0.2"/>
    <row r="222" customFormat="1" ht="12.75" customHeight="1" x14ac:dyDescent="0.2"/>
    <row r="223" customFormat="1" ht="12.75" customHeight="1" x14ac:dyDescent="0.2"/>
    <row r="224" customFormat="1" ht="12.75" customHeight="1" x14ac:dyDescent="0.2"/>
    <row r="225" customFormat="1" ht="12.75" customHeight="1" x14ac:dyDescent="0.2"/>
    <row r="226" customFormat="1" ht="12.75" customHeight="1" x14ac:dyDescent="0.2"/>
    <row r="227" customFormat="1" ht="12.75" customHeight="1" x14ac:dyDescent="0.2"/>
    <row r="228" customFormat="1" ht="12.75" customHeight="1" x14ac:dyDescent="0.2"/>
    <row r="229" customFormat="1" ht="12.75" customHeight="1" x14ac:dyDescent="0.2"/>
    <row r="230" customFormat="1" ht="12.75" customHeight="1" x14ac:dyDescent="0.2"/>
    <row r="231" customFormat="1" ht="12.75" customHeight="1" x14ac:dyDescent="0.2"/>
    <row r="232" customFormat="1" ht="12.75" customHeight="1" x14ac:dyDescent="0.2"/>
    <row r="233" customFormat="1" ht="12.75" customHeight="1" x14ac:dyDescent="0.2"/>
    <row r="234" customFormat="1" ht="12.75" customHeight="1" x14ac:dyDescent="0.2"/>
    <row r="235" customFormat="1" ht="12.75" customHeight="1" x14ac:dyDescent="0.2"/>
    <row r="236" customFormat="1" ht="12.75" customHeight="1" x14ac:dyDescent="0.2"/>
    <row r="237" customFormat="1" ht="12.75" customHeight="1" x14ac:dyDescent="0.2"/>
    <row r="238" customFormat="1" ht="12.75" customHeight="1" x14ac:dyDescent="0.2"/>
    <row r="239" customFormat="1" ht="12.75" customHeight="1" x14ac:dyDescent="0.2"/>
    <row r="240" customFormat="1" ht="12.75" customHeight="1" x14ac:dyDescent="0.2"/>
    <row r="241" customFormat="1" ht="12.75" customHeight="1" x14ac:dyDescent="0.2"/>
    <row r="242" customFormat="1" ht="12.75" customHeight="1" x14ac:dyDescent="0.2"/>
    <row r="243" customFormat="1" ht="12.75" customHeight="1" x14ac:dyDescent="0.2"/>
    <row r="244" customFormat="1" ht="12.75" customHeight="1" x14ac:dyDescent="0.2"/>
    <row r="245" customFormat="1" ht="12.75" customHeight="1" x14ac:dyDescent="0.2"/>
    <row r="246" customFormat="1" ht="12.75" customHeight="1" x14ac:dyDescent="0.2"/>
    <row r="247" customFormat="1" ht="12.75" customHeight="1" x14ac:dyDescent="0.2"/>
    <row r="248" customFormat="1" ht="12.75" customHeight="1" x14ac:dyDescent="0.2"/>
    <row r="249" customFormat="1" ht="12.75" customHeight="1" x14ac:dyDescent="0.2"/>
    <row r="250" customFormat="1" ht="12.75" customHeight="1" x14ac:dyDescent="0.2"/>
    <row r="251" customFormat="1" ht="12.75" customHeight="1" x14ac:dyDescent="0.2"/>
    <row r="252" customFormat="1" ht="12.75" customHeight="1" x14ac:dyDescent="0.2"/>
    <row r="253" customFormat="1" ht="12.75" customHeight="1" x14ac:dyDescent="0.2"/>
    <row r="254" customFormat="1" ht="12.75" customHeight="1" x14ac:dyDescent="0.2"/>
    <row r="255" customFormat="1" ht="12.75" customHeight="1" x14ac:dyDescent="0.2"/>
    <row r="256" customFormat="1" ht="12.75" customHeight="1" x14ac:dyDescent="0.2"/>
    <row r="257" customFormat="1" ht="12.75" customHeight="1" x14ac:dyDescent="0.2"/>
    <row r="258" customFormat="1" ht="12.75" customHeight="1" x14ac:dyDescent="0.2"/>
    <row r="259" customFormat="1" ht="12.75" customHeight="1" x14ac:dyDescent="0.2"/>
    <row r="260" customFormat="1" ht="12.75" customHeight="1" x14ac:dyDescent="0.2"/>
    <row r="261" customFormat="1" ht="12.75" customHeight="1" x14ac:dyDescent="0.2"/>
    <row r="262" customFormat="1" ht="12.75" customHeight="1" x14ac:dyDescent="0.2"/>
    <row r="263" customFormat="1" ht="12.75" customHeight="1" x14ac:dyDescent="0.2"/>
    <row r="264" customFormat="1" ht="12.75" customHeight="1" x14ac:dyDescent="0.2"/>
    <row r="265" customFormat="1" ht="12.75" customHeight="1" x14ac:dyDescent="0.2"/>
    <row r="266" customFormat="1" ht="12.75" customHeight="1" x14ac:dyDescent="0.2"/>
    <row r="267" customFormat="1" ht="12.75" customHeight="1" x14ac:dyDescent="0.2"/>
    <row r="268" customFormat="1" ht="12.75" customHeight="1" x14ac:dyDescent="0.2"/>
    <row r="269" customFormat="1" ht="12.75" customHeight="1" x14ac:dyDescent="0.2"/>
    <row r="270" customFormat="1" ht="12.75" customHeight="1" x14ac:dyDescent="0.2"/>
    <row r="271" customFormat="1" ht="12.75" customHeight="1" x14ac:dyDescent="0.2"/>
    <row r="272" customFormat="1" ht="12.75" customHeight="1" x14ac:dyDescent="0.2"/>
    <row r="273" customFormat="1" ht="12.75" customHeight="1" x14ac:dyDescent="0.2"/>
    <row r="274" customFormat="1" ht="12.75" customHeight="1" x14ac:dyDescent="0.2"/>
    <row r="275" customFormat="1" ht="12.75" customHeight="1" x14ac:dyDescent="0.2"/>
    <row r="276" customFormat="1" ht="12.75" customHeight="1" x14ac:dyDescent="0.2"/>
    <row r="277" customFormat="1" ht="12.75" customHeight="1" x14ac:dyDescent="0.2"/>
    <row r="278" customFormat="1" ht="12.75" customHeight="1" x14ac:dyDescent="0.2"/>
    <row r="279" customFormat="1" ht="12.75" customHeight="1" x14ac:dyDescent="0.2"/>
    <row r="280" customFormat="1" ht="12.75" customHeight="1" x14ac:dyDescent="0.2"/>
    <row r="281" customFormat="1" ht="12.75" customHeight="1" x14ac:dyDescent="0.2"/>
    <row r="282" customFormat="1" ht="12.75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Height="9" orientation="landscape"/>
  <headerFooter alignWithMargins="0">
    <oddHeader>&amp;L&amp;08&amp;"Microsoft Sans Serif"Instrument:{seq.instrument}   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   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zoomScaleNormal="100" zoomScaleSheetLayoutView="100" workbookViewId="0">
      <selection sqref="A1:H1"/>
    </sheetView>
  </sheetViews>
  <sheetFormatPr defaultColWidth="9.140625" defaultRowHeight="12.75" customHeight="1" x14ac:dyDescent="0.2"/>
  <cols>
    <col min="1" max="1" width="9.85546875" customWidth="1"/>
    <col min="2" max="2" width="12.5703125" customWidth="1"/>
    <col min="3" max="3" width="11.85546875" customWidth="1"/>
    <col min="4" max="4" width="19.42578125" customWidth="1"/>
    <col min="5" max="5" width="10.42578125" customWidth="1"/>
    <col min="6" max="6" width="10" customWidth="1"/>
    <col min="7" max="7" width="10.140625" customWidth="1"/>
    <col min="8" max="8" width="9.42578125" customWidth="1"/>
  </cols>
  <sheetData>
    <row r="1" spans="1:8" ht="21" x14ac:dyDescent="0.2">
      <c r="A1" s="237" t="s">
        <v>56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23" ht="12.6" customHeight="1" x14ac:dyDescent="0.2"/>
    <row r="24" ht="12.6" customHeight="1" x14ac:dyDescent="0.2"/>
    <row r="25" ht="12.6" customHeight="1" x14ac:dyDescent="0.2"/>
    <row r="27" ht="16.899999999999999" customHeight="1" x14ac:dyDescent="0.2"/>
    <row r="28" ht="12.6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Width="0"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Overview</vt:lpstr>
      <vt:lpstr>Integration</vt:lpstr>
      <vt:lpstr>copy</vt:lpstr>
      <vt:lpstr>Sheet2</vt:lpstr>
      <vt:lpstr>Calibration</vt:lpstr>
      <vt:lpstr>Peak Analysis</vt:lpstr>
      <vt:lpstr>SST</vt:lpstr>
      <vt:lpstr>Summary</vt:lpstr>
      <vt:lpstr>Injection Audit Trail</vt:lpstr>
      <vt:lpstr>Chromatogram</vt:lpstr>
      <vt:lpstr>Calibration!Print_Area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Mayer, Michael</dc:creator>
  <cp:lastModifiedBy>Williamson, Ruth (MU-Student)</cp:lastModifiedBy>
  <dcterms:created xsi:type="dcterms:W3CDTF">2020-07-23T19:30:44Z</dcterms:created>
  <dcterms:modified xsi:type="dcterms:W3CDTF">2026-10-16T20:27:32Z</dcterms:modified>
</cp:coreProperties>
</file>