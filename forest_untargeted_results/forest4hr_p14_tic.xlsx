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application/x-msmetafile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wn54\Documents\github_projects\phytoncide_untargeted_targeted\forest_untargeted_results\"/>
    </mc:Choice>
  </mc:AlternateContent>
  <xr:revisionPtr revIDLastSave="0" documentId="13_ncr:1_{97FEF65C-9A7E-4E35-A041-573E132E50E4}" xr6:coauthVersionLast="47" xr6:coauthVersionMax="47" xr10:uidLastSave="{00000000-0000-0000-0000-000000000000}"/>
  <bookViews>
    <workbookView xWindow="28680" yWindow="-120" windowWidth="29040" windowHeight="15720" tabRatio="845" firstSheet="1" activeTab="3" autoFilterDateGrouping="0" xr2:uid="{00000000-000D-0000-FFFF-FFFF00000000}"/>
  </bookViews>
  <sheets>
    <sheet name="Overview" sheetId="1" state="hidden" r:id="rId1"/>
    <sheet name="Integration" sheetId="2" r:id="rId2"/>
    <sheet name="copy" sheetId="9" r:id="rId3"/>
    <sheet name="Sheet2" sheetId="10" r:id="rId4"/>
    <sheet name="Calibration" sheetId="3" state="hidden" r:id="rId5"/>
    <sheet name="Peak Analysis" sheetId="4" state="hidden" r:id="rId6"/>
    <sheet name="SST" sheetId="5" state="hidden" r:id="rId7"/>
    <sheet name="Summary" sheetId="6" state="hidden" r:id="rId8"/>
    <sheet name="Injection Audit Trail" sheetId="7" state="hidden" r:id="rId9"/>
    <sheet name="Chromatogram" sheetId="8" state="hidden" r:id="rId10"/>
  </sheets>
  <definedNames>
    <definedName name="_xlnm.Print_Area" localSheetId="4">Calibration!$A:$H</definedName>
    <definedName name="_xlnm.Print_Area" localSheetId="7">Summary!$A:$H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3" i="9" l="1"/>
  <c r="F213" i="9"/>
  <c r="E213" i="9"/>
  <c r="D213" i="9"/>
  <c r="G213" i="2"/>
  <c r="F213" i="2"/>
  <c r="E213" i="2"/>
  <c r="D213" i="2"/>
  <c r="C51" i="5"/>
</calcChain>
</file>

<file path=xl/sharedStrings.xml><?xml version="1.0" encoding="utf-8"?>
<sst xmlns="http://schemas.openxmlformats.org/spreadsheetml/2006/main" count="2221" uniqueCount="455">
  <si>
    <t>Sequence Overview</t>
  </si>
  <si>
    <t>Sequence Details</t>
  </si>
  <si>
    <t>Name:</t>
  </si>
  <si>
    <t>UVDefault</t>
  </si>
  <si>
    <t>Created On:</t>
  </si>
  <si>
    <t>Directory:</t>
  </si>
  <si>
    <t>Default Templates (Reports and View Settings)\Sequence Templates</t>
  </si>
  <si>
    <t>Created By:</t>
  </si>
  <si>
    <t>stefan.polnick</t>
  </si>
  <si>
    <t>Data Vault:</t>
  </si>
  <si>
    <t>Workspace</t>
  </si>
  <si>
    <t>Updated On:</t>
  </si>
  <si>
    <t>No. of Injections:</t>
  </si>
  <si>
    <t>Updated By:</t>
  </si>
  <si>
    <t>PSauter</t>
  </si>
  <si>
    <t>Injection Details</t>
  </si>
  <si>
    <t>No</t>
  </si>
  <si>
    <t>Injection Name</t>
  </si>
  <si>
    <t>Position</t>
  </si>
  <si>
    <t>Type</t>
  </si>
  <si>
    <t xml:space="preserve">Level </t>
  </si>
  <si>
    <t>Inject Time</t>
  </si>
  <si>
    <t>Status</t>
  </si>
  <si>
    <t/>
  </si>
  <si>
    <t>Alkylphenones 1</t>
  </si>
  <si>
    <t>RA1</t>
  </si>
  <si>
    <t>Calibration Standard</t>
  </si>
  <si>
    <t>01</t>
  </si>
  <si>
    <t>Finished</t>
  </si>
  <si>
    <t>Alkylphenones 2</t>
  </si>
  <si>
    <t>Alkylphenones 3</t>
  </si>
  <si>
    <t>Alkylphenones 4</t>
  </si>
  <si>
    <t>Alkylphenones 5</t>
  </si>
  <si>
    <t>Alkylphenones 6</t>
  </si>
  <si>
    <t>Alkylphenones 7</t>
  </si>
  <si>
    <t>RA2</t>
  </si>
  <si>
    <t>Unknown</t>
  </si>
  <si>
    <t>Chromatogram and Results</t>
  </si>
  <si>
    <t>Injection Name:</t>
  </si>
  <si>
    <t>forest_p14_4hr</t>
  </si>
  <si>
    <t>Run Time (min):</t>
  </si>
  <si>
    <t>Vial Number:</t>
  </si>
  <si>
    <t>Injection Volume:</t>
  </si>
  <si>
    <t>Injection Type:</t>
  </si>
  <si>
    <t>Channel:</t>
  </si>
  <si>
    <t>TIC</t>
  </si>
  <si>
    <t>Calibration Level:</t>
  </si>
  <si>
    <t>Wavelength:</t>
  </si>
  <si>
    <t>n.a.</t>
  </si>
  <si>
    <t>Instrument Method:</t>
  </si>
  <si>
    <t>Bandwidth:</t>
  </si>
  <si>
    <t>Processing Method:</t>
  </si>
  <si>
    <t>p14_forest_4hr_UT</t>
  </si>
  <si>
    <t>Dilution Factor:</t>
  </si>
  <si>
    <t>Injection Date/Time:</t>
  </si>
  <si>
    <t>Sample Weight:</t>
  </si>
  <si>
    <t>Chromatogram</t>
  </si>
  <si>
    <t>Integration Results</t>
  </si>
  <si>
    <t>No.</t>
  </si>
  <si>
    <t>Peakname</t>
  </si>
  <si>
    <t>RetentionTime</t>
  </si>
  <si>
    <t>Area</t>
  </si>
  <si>
    <t>Height</t>
  </si>
  <si>
    <t>Relative Area</t>
  </si>
  <si>
    <t xml:space="preserve">Rel.Height </t>
  </si>
  <si>
    <t xml:space="preserve">CAS </t>
  </si>
  <si>
    <t xml:space="preserve">Chem.Formula </t>
  </si>
  <si>
    <t>min</t>
  </si>
  <si>
    <t>counts*min</t>
  </si>
  <si>
    <t>counts</t>
  </si>
  <si>
    <t>%</t>
  </si>
  <si>
    <t>Bicyclo[3.2.1]octane, 2,4-dimethoxy-</t>
  </si>
  <si>
    <t>79692-84-5</t>
  </si>
  <si>
    <t>C10H18O2</t>
  </si>
  <si>
    <t>Isoprene</t>
  </si>
  <si>
    <t>78-79-5</t>
  </si>
  <si>
    <t>C5H8</t>
  </si>
  <si>
    <t>Butane, 1,1,2,3,4,4-hexachloro-1,2,3,4-tetrafluoro-</t>
  </si>
  <si>
    <t>375-43-9</t>
  </si>
  <si>
    <t>C4Cl6F4</t>
  </si>
  <si>
    <t>2-Ethyl-3-methylthiirane 1,1-dioxide</t>
  </si>
  <si>
    <t>C5H10O2S</t>
  </si>
  <si>
    <t>1-Pentanol</t>
  </si>
  <si>
    <t>71-41-0</t>
  </si>
  <si>
    <t>C5H12O</t>
  </si>
  <si>
    <t>N-(diethylcarbamothioyl)benzamide</t>
  </si>
  <si>
    <t>C12H16N2OS</t>
  </si>
  <si>
    <t>rac-1-Benzoyl-1,3,3a,6,7,7a-hexahydro-3-methyl-2H-indol-2-one</t>
  </si>
  <si>
    <t>C16H17NO2</t>
  </si>
  <si>
    <t>4α-tert-Butyl-1α,7β,8α-trihydro-2β-methyl-4β-(deuteriomethyl)-3,</t>
  </si>
  <si>
    <t>C18H29DO5</t>
  </si>
  <si>
    <t>Tricyclo[2.2.1.0(2,6)]heptan-3-ol, 1-(chloromethyl)-7-methylene-</t>
  </si>
  <si>
    <t>66728-04-9</t>
  </si>
  <si>
    <t>C9H11ClO</t>
  </si>
  <si>
    <t>(1R,2S)-1-phenyl-2-(propylamino)-1-propanol</t>
  </si>
  <si>
    <t>C12H19NO</t>
  </si>
  <si>
    <t>Benzyl (E)-1-hex-1-enyl sulfoxide</t>
  </si>
  <si>
    <t>C13H18OS</t>
  </si>
  <si>
    <t>[(2R,3S,4R,5S)-3,4-bis(oxidanyl)-5-(8-phenylmethoxy-[1,2,4]triaz</t>
  </si>
  <si>
    <t>C24H22N4O6</t>
  </si>
  <si>
    <t>2,2-bis(fluoranyl)-4-iodanyl-1-phenyl-4-trimethylsilyl-butan-1-o</t>
  </si>
  <si>
    <t>C13H17F2IOSi</t>
  </si>
  <si>
    <t>2-Methylallyl N,N-Dimethylselenocarbamate</t>
  </si>
  <si>
    <t>C7H13NOSe</t>
  </si>
  <si>
    <t>Cyclotrisiloxane, hexamethyl-</t>
  </si>
  <si>
    <t>541-05-9</t>
  </si>
  <si>
    <t>C6H18O3Si3</t>
  </si>
  <si>
    <t>Dimethylsilyloxy-dimethyl-trimethylsilyloxy-silane</t>
  </si>
  <si>
    <t>C7H22O2Si3</t>
  </si>
  <si>
    <t>2-(4-Methylphenyl)-1H-indole</t>
  </si>
  <si>
    <t>55577-25-8</t>
  </si>
  <si>
    <t>C15H13N</t>
  </si>
  <si>
    <t>Chromium, tricarbonyl[3-hydroxy-3-[(1,2,3,4,5,6-η)-2-methoxyphen</t>
  </si>
  <si>
    <t>130293-33-3</t>
  </si>
  <si>
    <t>C19H16CrO6</t>
  </si>
  <si>
    <t>(E)-3-(2-Bromophenyl)-1-phenylprop-2-en-1-one</t>
  </si>
  <si>
    <t>C15H11BrO</t>
  </si>
  <si>
    <t>1-Chloranyl-3-(trifluoromethyl)benzene</t>
  </si>
  <si>
    <t>98-15-7</t>
  </si>
  <si>
    <t>C7H4ClF3</t>
  </si>
  <si>
    <t>o-Xylene</t>
  </si>
  <si>
    <t>95-47-6</t>
  </si>
  <si>
    <t>C8H10</t>
  </si>
  <si>
    <t>2-[4-Hydroxy-4-phenyl-3-(1-phenylethyl)-2-thioxo-1,3-thiazolan-5</t>
  </si>
  <si>
    <t>C25H21NO2S2</t>
  </si>
  <si>
    <t>(R)-2-(Benzoyloxy)-3-benzyloxypropanenitrile</t>
  </si>
  <si>
    <t>C17H15NO3</t>
  </si>
  <si>
    <t>Phenylethyne</t>
  </si>
  <si>
    <t>536-74-3</t>
  </si>
  <si>
    <t>C8H6</t>
  </si>
  <si>
    <t>3-[(Benzoylmethylamino)hexyl)-thiazolidine</t>
  </si>
  <si>
    <t>C17H26N2S</t>
  </si>
  <si>
    <t>3,4-dimethyl-Heptane</t>
  </si>
  <si>
    <t>C9H20</t>
  </si>
  <si>
    <t>cyclopentyl-[(1S)-1-phenylethyl]amine</t>
  </si>
  <si>
    <t>C13H19N</t>
  </si>
  <si>
    <t>3-Benzoyl-5-methylthiamethyl-4,5-dihydroisoxazole</t>
  </si>
  <si>
    <t>C12H13NO2S</t>
  </si>
  <si>
    <t>1-Phenyl-2-((1R,4R)-4,5,5-trimethylcyclopent-2-en-1-yl)ethan-1-o</t>
  </si>
  <si>
    <t>C16H20O</t>
  </si>
  <si>
    <t>N-(2-Methylbenzenesulfinyl)-benzamide</t>
  </si>
  <si>
    <t>C14H13NO2S</t>
  </si>
  <si>
    <t>1-(4-Cyanophenyl)-2-phenylethane-1,2-dione</t>
  </si>
  <si>
    <t>C15H9NO2</t>
  </si>
  <si>
    <t>3-Benzamido-5-phenyl-1,2,3-triazole-4-carboxylic acid</t>
  </si>
  <si>
    <t>113631-70-2</t>
  </si>
  <si>
    <t>C16H12N4O3</t>
  </si>
  <si>
    <t>2,4-Diphenyl-2-oxazolin-5-one</t>
  </si>
  <si>
    <t>28687-81-2</t>
  </si>
  <si>
    <t>C15H11NO2</t>
  </si>
  <si>
    <t>1-Benzoyloxy-3-isobutyl-7,8-dihydro-6H-pyrrol1o[1,2-a]pyrazine-4</t>
  </si>
  <si>
    <t>C18H20N2O3</t>
  </si>
  <si>
    <t>Benzaldehyde</t>
  </si>
  <si>
    <t>100-52-7</t>
  </si>
  <si>
    <t>C7H6O</t>
  </si>
  <si>
    <t>Cyclotetrasiloxane, octamethyl-</t>
  </si>
  <si>
    <t>556-67-2</t>
  </si>
  <si>
    <t>C8H24O4Si4</t>
  </si>
  <si>
    <t>3-Phenyl-6-trimethylsilyl-pyrazolo[1,5-a]pyridine quinone-2,5</t>
  </si>
  <si>
    <t>103240-21-7</t>
  </si>
  <si>
    <t>C16H16N2O2Si</t>
  </si>
  <si>
    <t>2-((5S,7aS)-2,2,7,7-Tetramethyl-7a-phenyl-5-(phenylhio)tetrahydr</t>
  </si>
  <si>
    <t>C24H26N2OS</t>
  </si>
  <si>
    <t>(trans-anti)-bis[ 1-Phenyl-4-( 1'-phenylethyl)-4,5-dihydro-1H-1,</t>
  </si>
  <si>
    <t>C32H30I2N6Pd</t>
  </si>
  <si>
    <t>2,3-bis(Benzamido)-2-methylpropanoic acid</t>
  </si>
  <si>
    <t>C18H18N2O4</t>
  </si>
  <si>
    <t>2-Ethyl-1,1-difluoro-3,3-dimethylcyclopropane</t>
  </si>
  <si>
    <t>C7H12F2</t>
  </si>
  <si>
    <t>(2R*,3aR*,6aR*)-2-tert-Butyl-2,3a,4,6a-tetrahydro-3a-phenyl-4-ox</t>
  </si>
  <si>
    <t>C21H22O4</t>
  </si>
  <si>
    <t>2-Ethoxycarbonyl-4,9-dihydro-3-methyl-1-phenylpyrrolo[1,2-b]isoq</t>
  </si>
  <si>
    <t>C22H21NO2</t>
  </si>
  <si>
    <t>1,2-Bis-methoxymethyl-benzene</t>
  </si>
  <si>
    <t>C10H14O2</t>
  </si>
  <si>
    <t>(Z)-3-(3'-Hydroxyphenyl)-1,1-diphenylprop-2-en-1-ol</t>
  </si>
  <si>
    <t>C21H18O2</t>
  </si>
  <si>
    <t>Ethanone, 2-bicyclo[2.2.1]hepta-2,5-dien-7-yl-1-phenyl-</t>
  </si>
  <si>
    <t>74597-12-9</t>
  </si>
  <si>
    <t>C15H14O</t>
  </si>
  <si>
    <t>Benzeneacetaldehyde</t>
  </si>
  <si>
    <t>122-78-1</t>
  </si>
  <si>
    <t>C8H8O</t>
  </si>
  <si>
    <t>(E,E)-1-[(S)-2'-Methoxy-2'-phenylacetoxy]-1,3-hexadiene</t>
  </si>
  <si>
    <t>67177-15-5</t>
  </si>
  <si>
    <t>C15H18O3</t>
  </si>
  <si>
    <t>Benzenecarbothioic acid</t>
  </si>
  <si>
    <t>98-91-9</t>
  </si>
  <si>
    <t>C7H6OS</t>
  </si>
  <si>
    <t>2,4-Difluorophenyl Benzoate</t>
  </si>
  <si>
    <t>C13H8F2O2</t>
  </si>
  <si>
    <t>Acetophenone</t>
  </si>
  <si>
    <t>98-86-2</t>
  </si>
  <si>
    <t>Ethanone, 2,2-dihydroxy-1-phenyl-</t>
  </si>
  <si>
    <t>1075-06-5</t>
  </si>
  <si>
    <t>C8H8O3</t>
  </si>
  <si>
    <t>(3-Methyl-4H-1,4-benzothiazin-2-yl)(phenyl)methanone</t>
  </si>
  <si>
    <t>C16H13NOS</t>
  </si>
  <si>
    <t>Ethyl 2-(cyclohepta-2,4,6-trien-1-yl)-3-oxo-3-phenylpropanoate</t>
  </si>
  <si>
    <t>C18H18O3</t>
  </si>
  <si>
    <t>3-Phenyl-5-propenyl-[1,4,2]dioxazole</t>
  </si>
  <si>
    <t>C11H11NO2</t>
  </si>
  <si>
    <t>Nonanal</t>
  </si>
  <si>
    <t>124-19-6</t>
  </si>
  <si>
    <t>C9H18O</t>
  </si>
  <si>
    <t>Cyclopentasiloxane, decamethyl-</t>
  </si>
  <si>
    <t>541-02-6</t>
  </si>
  <si>
    <t>C10H30O5Si5</t>
  </si>
  <si>
    <t>Benzoic acid</t>
  </si>
  <si>
    <t>65-85-0</t>
  </si>
  <si>
    <t>C7H6O2</t>
  </si>
  <si>
    <t>Pyrido[1,2-a]azepine-6,7,8,9-tetracarboxylic acid, 10-(benzoylox</t>
  </si>
  <si>
    <t>71127-22-5</t>
  </si>
  <si>
    <t>C25H23NO10</t>
  </si>
  <si>
    <t>Bicyclo[3.1.0]hexan-2-one, 5-(1-methylethyl)-</t>
  </si>
  <si>
    <t>513-20-2</t>
  </si>
  <si>
    <t>C9H14O</t>
  </si>
  <si>
    <t>N'-methylbenzohydrazide</t>
  </si>
  <si>
    <t>1660-24-8</t>
  </si>
  <si>
    <t>C8H10N2O</t>
  </si>
  <si>
    <t>(3R*,4aR*,7aR*)-3-tert-Butyl-3,4a,7,7a-tetrahydro-6,7a-diphenyl-</t>
  </si>
  <si>
    <t>3-Phenyl-1,4,2-dioxazol-5-one</t>
  </si>
  <si>
    <t>C8H5NO3</t>
  </si>
  <si>
    <t>Decanal</t>
  </si>
  <si>
    <t>112-31-2</t>
  </si>
  <si>
    <t>C10H20O</t>
  </si>
  <si>
    <t>Methyl salicylate</t>
  </si>
  <si>
    <t>119-36-8</t>
  </si>
  <si>
    <t>Benzoic acid, 2-formyl-</t>
  </si>
  <si>
    <t>119-67-5</t>
  </si>
  <si>
    <t>C8H6O3</t>
  </si>
  <si>
    <t>Acetic acid, phenyl-</t>
  </si>
  <si>
    <t>103-82-2</t>
  </si>
  <si>
    <t>C8H8O2</t>
  </si>
  <si>
    <t>(2-nitroanilino) benzoate</t>
  </si>
  <si>
    <t>127526-86-7</t>
  </si>
  <si>
    <t>C13H10N2O4</t>
  </si>
  <si>
    <t>Methyl 2-benzamido-1,2,3,4-tetrahydronaphthalene-2-carboxylate</t>
  </si>
  <si>
    <t>C19H19NO3</t>
  </si>
  <si>
    <t>2-Coumaranone</t>
  </si>
  <si>
    <t>553-86-6</t>
  </si>
  <si>
    <t>C8H6O2</t>
  </si>
  <si>
    <t>Ethanone, 2-bromo-1-phenyl-</t>
  </si>
  <si>
    <t>70-11-1</t>
  </si>
  <si>
    <t>C8H7BrO</t>
  </si>
  <si>
    <t>Benzene, (1-bromo-3-methylbutyl-4-13C)-</t>
  </si>
  <si>
    <t>65128-29-2</t>
  </si>
  <si>
    <t>C11H15Br</t>
  </si>
  <si>
    <t>3-Ethoxycarbonyl-4-methylisoxazol-5-yl benzoate</t>
  </si>
  <si>
    <t>C14H13NO5</t>
  </si>
  <si>
    <t>N-(tert-Butyl)-2-(4-nitrophenyl)-4H-3,1-benzoxazine-4-carboxamid</t>
  </si>
  <si>
    <t>C19H19N3O4</t>
  </si>
  <si>
    <t>Salicylic acid</t>
  </si>
  <si>
    <t>69-72-7</t>
  </si>
  <si>
    <t>C7H6O3</t>
  </si>
  <si>
    <t>Cyclohexasiloxane, dodecamethyl-</t>
  </si>
  <si>
    <t>540-97-6</t>
  </si>
  <si>
    <t>C12H36O6Si6</t>
  </si>
  <si>
    <t>Benzaldehyde, 2,4,5-trimethyl-</t>
  </si>
  <si>
    <t>5779-72-6</t>
  </si>
  <si>
    <t>C10H12O</t>
  </si>
  <si>
    <t>2-(2-Hydroxyethoxy)benzoic acid</t>
  </si>
  <si>
    <t>55211-84-2</t>
  </si>
  <si>
    <t>C9H10O4</t>
  </si>
  <si>
    <t>Phthalic anhydride</t>
  </si>
  <si>
    <t>85-44-9</t>
  </si>
  <si>
    <t>C8H4O3</t>
  </si>
  <si>
    <t>1,2-Bis(benzoylmethylene)adamantane</t>
  </si>
  <si>
    <t>C26H28O2</t>
  </si>
  <si>
    <t>1(3H)-Isobenzofuranone</t>
  </si>
  <si>
    <t>87-41-2</t>
  </si>
  <si>
    <t>5-(Ethoxycarbonyl)-7-[(4-methylphenyl)amino]thieno[3,2-d][1,3]di</t>
  </si>
  <si>
    <t>C17H17N3O2S</t>
  </si>
  <si>
    <t>Benzoylformic acid</t>
  </si>
  <si>
    <t>611-73-4</t>
  </si>
  <si>
    <t>3-octyl-1,1,1,3,5,5,5-heptamethyltrisiloxane</t>
  </si>
  <si>
    <t>C15H38O2Si3</t>
  </si>
  <si>
    <t>Acetic acid hepta-3,6-diynyl ester</t>
  </si>
  <si>
    <t>C9H10O2</t>
  </si>
  <si>
    <t>Vinyl benzhydryl sulfide</t>
  </si>
  <si>
    <t>54663-82-0</t>
  </si>
  <si>
    <t>C15H14S</t>
  </si>
  <si>
    <t>(10E)-3-((E)-4,8-dimethylnona-3,7-dien-1-yl)-N,N-diethyl-11,15-d</t>
  </si>
  <si>
    <t>C34H59N</t>
  </si>
  <si>
    <t>Heptasiloxane, hexadecamethyl-</t>
  </si>
  <si>
    <t>541-01-5</t>
  </si>
  <si>
    <t>C16H48O6Si7</t>
  </si>
  <si>
    <t>Phenylmaleic anhydride</t>
  </si>
  <si>
    <t>36122-35-7</t>
  </si>
  <si>
    <t>C10H6O3</t>
  </si>
  <si>
    <t>4-Methoxy-1,2-naphthoquinone</t>
  </si>
  <si>
    <t>18916-57-9</t>
  </si>
  <si>
    <t>C11H8O3</t>
  </si>
  <si>
    <t>Heptasiloxane, 1,1,3,3,5,5,7,7,9,9,11,11,13,13-tetradecamethyl-</t>
  </si>
  <si>
    <t>19095-23-9</t>
  </si>
  <si>
    <t>C14H44O6Si7</t>
  </si>
  <si>
    <t>4-Cyclopentene-1,3-dione, 4-phenyl-</t>
  </si>
  <si>
    <t>51306-96-8</t>
  </si>
  <si>
    <t>C11H8O2</t>
  </si>
  <si>
    <t>Benzophenone</t>
  </si>
  <si>
    <t>119-61-9</t>
  </si>
  <si>
    <t>C13H10O</t>
  </si>
  <si>
    <t>7-oxohyocholic acid methyl ester</t>
  </si>
  <si>
    <t>C25H40O5</t>
  </si>
  <si>
    <t>Hyocholic acid methylester</t>
  </si>
  <si>
    <t>C25H42O5</t>
  </si>
  <si>
    <t>1,1,1,3,3,5,5,7,7,9,9,11,11,13,13,15,15,15-octadecamethyloctasil</t>
  </si>
  <si>
    <t>556-69-4</t>
  </si>
  <si>
    <t>C18H54O7Si8</t>
  </si>
  <si>
    <t>2-(tert.-Butyldimethylsilyl)oxybenzylidene acetophenone</t>
  </si>
  <si>
    <t>C21H26O2Si</t>
  </si>
  <si>
    <t>Octasiloxane, 1,1,3,3,5,5,7,7,9,9,11,11,13,13,15,15-hexadecameth</t>
  </si>
  <si>
    <t>19095-24-0</t>
  </si>
  <si>
    <t>C16H50O7Si8</t>
  </si>
  <si>
    <t>Hexasiloxane, 1,1,3,3,5,5,7,7,9,9,11,11-dodecamethyl-</t>
  </si>
  <si>
    <t>995-82-4</t>
  </si>
  <si>
    <t>C12H38O5Si6</t>
  </si>
  <si>
    <t>Total:</t>
  </si>
  <si>
    <t>Calibration</t>
  </si>
  <si>
    <t>Calibration Details</t>
  </si>
  <si>
    <t>Acetanilide</t>
  </si>
  <si>
    <t>Calibration Type</t>
  </si>
  <si>
    <t>Lin, WithOffset</t>
  </si>
  <si>
    <t>Offset (C0)</t>
  </si>
  <si>
    <t>Evaluation Type</t>
  </si>
  <si>
    <t>Slope (C1)</t>
  </si>
  <si>
    <t>Number of Calibration Points</t>
  </si>
  <si>
    <t>Curve (C2)</t>
  </si>
  <si>
    <t>Number of disabled Calibration Points</t>
  </si>
  <si>
    <t>R-Square</t>
  </si>
  <si>
    <t>Calibration Plot</t>
  </si>
  <si>
    <t>Calibration Results</t>
  </si>
  <si>
    <t xml:space="preserve">No. </t>
  </si>
  <si>
    <t xml:space="preserve">X Value </t>
  </si>
  <si>
    <t xml:space="preserve">Y Value </t>
  </si>
  <si>
    <t xml:space="preserve">Residual </t>
  </si>
  <si>
    <t xml:space="preserve">Area </t>
  </si>
  <si>
    <t xml:space="preserve">Height </t>
  </si>
  <si>
    <t>ng</t>
  </si>
  <si>
    <t>mAU*min</t>
  </si>
  <si>
    <t>mAU</t>
  </si>
  <si>
    <t>UV_VIS_1</t>
  </si>
  <si>
    <t>Peak Analysis</t>
  </si>
  <si>
    <t>CM_OQ</t>
  </si>
  <si>
    <t>Peak Results</t>
  </si>
  <si>
    <t>Ret.Time</t>
  </si>
  <si>
    <t>Width (50%)</t>
  </si>
  <si>
    <t xml:space="preserve">Type </t>
  </si>
  <si>
    <t>Resolution (EP)</t>
  </si>
  <si>
    <t>Asymmetry (EP)</t>
  </si>
  <si>
    <t>Plates (EP)</t>
  </si>
  <si>
    <t xml:space="preserve"> M </t>
  </si>
  <si>
    <t xml:space="preserve"> MB</t>
  </si>
  <si>
    <t>Propiophenone</t>
  </si>
  <si>
    <t>Chromatogram and SST Results</t>
  </si>
  <si>
    <t>SST Results</t>
  </si>
  <si>
    <t>Name</t>
  </si>
  <si>
    <t>Inj.Condition</t>
  </si>
  <si>
    <t xml:space="preserve">Peak </t>
  </si>
  <si>
    <t xml:space="preserve">Test Result </t>
  </si>
  <si>
    <t xml:space="preserve">Name </t>
  </si>
  <si>
    <t>System Suitability Test Case 1</t>
  </si>
  <si>
    <t>All Injections</t>
  </si>
  <si>
    <t>Number: 2</t>
  </si>
  <si>
    <t>Not Executed</t>
  </si>
  <si>
    <t>System Suitability Test Case 2</t>
  </si>
  <si>
    <t>injection.name starts with "Alkylphenones"</t>
  </si>
  <si>
    <t>System Suitability Test Case 3</t>
  </si>
  <si>
    <t>(injection.number&gt;=1 AND injection.number&lt;=7)</t>
  </si>
  <si>
    <t>Highest: peak.area</t>
  </si>
  <si>
    <t>System Suitability Test Case 4</t>
  </si>
  <si>
    <t>All Identified Peaks</t>
  </si>
  <si>
    <t>System Suitability Test Case 5</t>
  </si>
  <si>
    <t>injection.position = RC9</t>
  </si>
  <si>
    <t>System Suitability Test Case 6</t>
  </si>
  <si>
    <t>Injection Type: Unknown</t>
  </si>
  <si>
    <t xml:space="preserve">Number of executed test cases: </t>
  </si>
  <si>
    <t xml:space="preserve">Total Result: </t>
  </si>
  <si>
    <t>Summary</t>
  </si>
  <si>
    <t>By Component</t>
  </si>
  <si>
    <t xml:space="preserve">Amount </t>
  </si>
  <si>
    <t xml:space="preserve">Rel.Area </t>
  </si>
  <si>
    <t xml:space="preserve">Peak Type </t>
  </si>
  <si>
    <t xml:space="preserve">BM </t>
  </si>
  <si>
    <t>Injection Audit Trail</t>
  </si>
  <si>
    <t>Day Time</t>
  </si>
  <si>
    <t>Ret. Time</t>
  </si>
  <si>
    <t>Command/Message</t>
  </si>
  <si>
    <t>(UTC+02:00)</t>
  </si>
  <si>
    <t>13:14:22</t>
  </si>
  <si>
    <t>Audit trail of injection "chrom://deger-6fwtxt2/Workspace/OQ/Station Qual 2022-07-12.seq/515.smp". Executed 7/12/2022 on instrument CM_OQ (instrument controller DEGER-6FWTXT2).</t>
  </si>
  <si>
    <t xml:space="preserve">Start of injection 1 "Alkylphenones 1", using instrument method "CM_OQ". </t>
  </si>
  <si>
    <t>0.000</t>
  </si>
  <si>
    <t xml:space="preserve">Entered stage "Instrument Setup" </t>
  </si>
  <si>
    <t xml:space="preserve">UV.3DFIELD.MinWavelength = 190.0 nm </t>
  </si>
  <si>
    <t xml:space="preserve">UV.3DFIELD.MaxWavelength = 350.0 nm </t>
  </si>
  <si>
    <t xml:space="preserve">UV.3DFIELD.BunchWidth = 1 nm </t>
  </si>
  <si>
    <t xml:space="preserve">UV.ResponseTime = 0.030 s </t>
  </si>
  <si>
    <t xml:space="preserve">UV.Data_Collection_Rate = 100 Hz </t>
  </si>
  <si>
    <t xml:space="preserve">ColumnOven.Temperature.Nominal = 20.0 °C </t>
  </si>
  <si>
    <t xml:space="preserve">PumpModule.Pump.%A.Equate = "Water" </t>
  </si>
  <si>
    <t xml:space="preserve">PumpModule.Pump.%B.Equate = "Acetonitrile" </t>
  </si>
  <si>
    <t xml:space="preserve">PumpModule.Pump.%C.Equate = "%C" </t>
  </si>
  <si>
    <t xml:space="preserve">PumpModule.Pump.%D.Equate = "%D" </t>
  </si>
  <si>
    <t xml:space="preserve">PumpModule.Pump.Pressure.LowerLimit = 0 bar </t>
  </si>
  <si>
    <t xml:space="preserve">PumpModule.Pump.Pressure.UpperLimit = 800 bar </t>
  </si>
  <si>
    <t xml:space="preserve">UV.UV_VIS_1.Wavelength = 244.0 nm </t>
  </si>
  <si>
    <t xml:space="preserve">UV.UV_VIS_1.Bandwidth = 4 nm </t>
  </si>
  <si>
    <t xml:space="preserve">UV.UV_VIS_1.RefWavelength = Off </t>
  </si>
  <si>
    <t xml:space="preserve">UV.UV_VIS_1.RefBandwidth = 1 nm </t>
  </si>
  <si>
    <t xml:space="preserve">UV.3DFIELD.RefWavelength = Off </t>
  </si>
  <si>
    <t xml:space="preserve">UV.3DFIELD.RefBandwidth = 1 nm </t>
  </si>
  <si>
    <t xml:space="preserve">UV.UV_VIS_2.Wavelength = 256.0 nm </t>
  </si>
  <si>
    <t xml:space="preserve">UV.UV_VIS_2.Bandwidth = 4 nm </t>
  </si>
  <si>
    <t xml:space="preserve">UV.UV_VIS_2.RefWavelength = Off </t>
  </si>
  <si>
    <t xml:space="preserve">UV.UV_VIS_2.RefBandwidth = 1 nm </t>
  </si>
  <si>
    <t xml:space="preserve">Entered stage "Inject Preparation" </t>
  </si>
  <si>
    <t xml:space="preserve">UV.Autozero </t>
  </si>
  <si>
    <t xml:space="preserve">Wait ColumnOven.Ready And Sampler.Ready And UV.Ready </t>
  </si>
  <si>
    <t>13:14:27</t>
  </si>
  <si>
    <t xml:space="preserve">Wait finished </t>
  </si>
  <si>
    <t xml:space="preserve">Entered stage "Inject" </t>
  </si>
  <si>
    <t xml:space="preserve">Sampler.Inject </t>
  </si>
  <si>
    <t xml:space="preserve">Injecting from vial position RA1. </t>
  </si>
  <si>
    <t xml:space="preserve">Injection Volume is 2.000 µl. </t>
  </si>
  <si>
    <t xml:space="preserve">Waiting for inject response on UM3WPSInjectState1. </t>
  </si>
  <si>
    <t>13:14:29</t>
  </si>
  <si>
    <t xml:space="preserve">Got inject response. </t>
  </si>
  <si>
    <t xml:space="preserve">Entered stage "Start Run" </t>
  </si>
  <si>
    <t xml:space="preserve">UV.UV_VIS_1.AcqOn </t>
  </si>
  <si>
    <t xml:space="preserve">UV.UV_VIS_2.AcqOn </t>
  </si>
  <si>
    <t xml:space="preserve">UV.3DFIELD.AcqOn </t>
  </si>
  <si>
    <t xml:space="preserve">Entered stage "Run" </t>
  </si>
  <si>
    <t xml:space="preserve">PumpModule.Pump.Flow.Nominal = 1.400 ml/min </t>
  </si>
  <si>
    <t xml:space="preserve">PumpModule.Pump.%B.Value Gradient Start = 35.0 %, End = 90.0 %, Duration = 0.300 min </t>
  </si>
  <si>
    <t xml:space="preserve">PumpModule.Pump.%C.Value = 0.0 % </t>
  </si>
  <si>
    <t xml:space="preserve">PumpModule.Pump.%D.Value = 0.0 % </t>
  </si>
  <si>
    <t xml:space="preserve">PumpModule.Pump.Curve = 5 </t>
  </si>
  <si>
    <t xml:space="preserve">Reading from simulation data file C:\Program Files (x86)\Thermo\Chromeleon\bin\DDK\V1\Drivers\Dionex\DAD3000\cmoq_1.dad3000. </t>
  </si>
  <si>
    <t>13:14:47</t>
  </si>
  <si>
    <t>0.300</t>
  </si>
  <si>
    <t xml:space="preserve">PumpModule.Pump.%B.Value = 90.0 % </t>
  </si>
  <si>
    <t>13:14:56</t>
  </si>
  <si>
    <t>0.450</t>
  </si>
  <si>
    <t xml:space="preserve">UV.3DFIELD.AcqOff </t>
  </si>
  <si>
    <t xml:space="preserve">UV.UV_VIS_1.AcqOff </t>
  </si>
  <si>
    <t xml:space="preserve">UV.UV_VIS_2.AcqOff </t>
  </si>
  <si>
    <t xml:space="preserve">Entered stage "Stop Run" </t>
  </si>
  <si>
    <t xml:space="preserve">Terminating instrument method chrom://deger-6fwtxt2/Workspace/OQ/Station Qual 2022-07-12.seq/CM_OQ.instmeth. Waiting for instrument to finish processing of current injection ... </t>
  </si>
  <si>
    <t>0.451</t>
  </si>
  <si>
    <t xml:space="preserve">Closing simulation data file. </t>
  </si>
  <si>
    <t xml:space="preserve">OK to terminate instrument method chrom://deger-6fwtxt2/Workspace/OQ/Station Qual 2022-07-12.seq/CM_OQ.instmeth. </t>
  </si>
  <si>
    <t xml:space="preserve">IRC Message for Test Case "System Suitability Test Case 5": Injection specification criteria has not been met </t>
  </si>
  <si>
    <t xml:space="preserve">IRC Message for Test Case "System Suitability Test Case 6": Injection specification criteria has not been met </t>
  </si>
  <si>
    <t xml:space="preserve">End of injection "Alkylphenones 1".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</si>
</sst>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dd/mmm/yy\ hh:mm:ss"/>
    <numFmt numFmtId="165" formatCode=";;"/>
    <numFmt numFmtId="166" formatCode="dd/mmm/yyyy\ hh:mm"/>
    <numFmt numFmtId="167" formatCode="0.0000"/>
    <numFmt numFmtId="168" formatCode="dd/mmm/yy\ hh:mm"/>
    <numFmt numFmtId="169" formatCode="dd/mm/yy\ hh:mm"/>
    <numFmt numFmtId="170" formatCode="0.000&quot; &quot;"/>
    <numFmt numFmtId="171" formatCode="0.0000&quot; &quot;"/>
    <numFmt numFmtId="172" formatCode="0.00&quot; &quot;"/>
    <numFmt numFmtId="173" formatCode="0.00&quot;      &quot;"/>
    <numFmt numFmtId="174" formatCode="0.000"/>
    <numFmt numFmtId="175" formatCode="0.0000&quot;  &quot;"/>
  </numFmts>
  <fonts count="13" x14ac:knownFonts="1">
    <font>
      <sz val="10"/>
      <name val="Arial"/>
    </font>
    <font>
      <b/>
      <sz val="16"/>
      <name val="Calibri"/>
    </font>
    <font>
      <b/>
      <sz val="12"/>
      <name val="Calibri"/>
    </font>
    <font>
      <i/>
      <sz val="10"/>
      <name val="Arial"/>
    </font>
    <font>
      <b/>
      <sz val="10"/>
      <name val="Arial"/>
    </font>
    <font>
      <sz val="10"/>
      <color rgb="FF000000"/>
      <name val="Arial"/>
    </font>
    <font>
      <b/>
      <sz val="16"/>
      <name val="Calibri"/>
    </font>
    <font>
      <b/>
      <sz val="10"/>
      <name val="Arial"/>
    </font>
    <font>
      <sz val="10"/>
      <name val="Arial"/>
    </font>
    <font>
      <b/>
      <sz val="12"/>
      <name val="Calibri"/>
    </font>
    <font>
      <i/>
      <sz val="10"/>
      <name val="Arial"/>
    </font>
    <font>
      <b/>
      <sz val="9"/>
      <name val="Arial"/>
    </font>
    <font>
      <b/>
      <sz val="10"/>
      <color rgb="FF0070C0"/>
      <name val="Arial"/>
    </font>
  </fonts>
  <fills count="12">
    <fill>
      <patternFill patternType="none"/>
    </fill>
    <fill>
      <patternFill patternType="gray125"/>
    </fill>
    <fill>
      <patternFill patternType="none"/>
    </fill>
    <fill>
      <patternFill patternType="solid">
        <fgColor indexed="34"/>
      </patternFill>
    </fill>
    <fill>
      <patternFill patternType="solid">
        <fgColor indexed="44"/>
      </patternFill>
    </fill>
    <fill>
      <patternFill patternType="solid">
        <fgColor rgb="FFE0FFE0"/>
        <bgColor rgb="FF4472C4"/>
      </patternFill>
    </fill>
    <fill>
      <patternFill patternType="solid">
        <fgColor rgb="FFD8D8D8"/>
        <bgColor rgb="FFDAE3F3"/>
      </patternFill>
    </fill>
    <fill>
      <patternFill patternType="solid">
        <fgColor rgb="FFD8D8D8"/>
      </patternFill>
    </fill>
    <fill>
      <patternFill patternType="solid">
        <fgColor rgb="FFD8D8D8"/>
        <bgColor auto="1"/>
      </patternFill>
    </fill>
    <fill>
      <patternFill patternType="none">
        <fgColor auto="1"/>
        <bgColor auto="1"/>
      </patternFill>
    </fill>
    <fill>
      <patternFill patternType="solid">
        <fgColor rgb="FFA6CAF0"/>
      </patternFill>
    </fill>
    <fill>
      <patternFill patternType="solid">
        <fgColor rgb="FFFFCC00"/>
      </patternFill>
    </fill>
  </fills>
  <borders count="59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2" borderId="1"/>
  </cellStyleXfs>
  <cellXfs count="247">
    <xf numFmtId="0" fontId="0" fillId="2" borderId="1" xfId="0"/>
    <xf numFmtId="0" fontId="0" fillId="2" borderId="1" xfId="0" applyAlignment="1">
      <alignment vertical="center"/>
    </xf>
    <xf numFmtId="0" fontId="0" fillId="2" borderId="1" xfId="0" applyAlignment="1">
      <alignment horizontal="left" vertical="center"/>
    </xf>
    <xf numFmtId="0" fontId="0" fillId="2" borderId="1" xfId="0" applyAlignment="1">
      <alignment horizontal="left"/>
    </xf>
    <xf numFmtId="0" fontId="0" fillId="2" borderId="1" xfId="0" applyAlignment="1">
      <alignment horizontal="left" vertical="top"/>
    </xf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2" fillId="4" borderId="8" xfId="0" applyFont="1" applyFill="1" applyBorder="1" applyAlignment="1">
      <alignment horizontal="left" vertical="center"/>
    </xf>
    <xf numFmtId="0" fontId="0" fillId="4" borderId="1" xfId="0" applyFill="1" applyAlignment="1">
      <alignment horizontal="left"/>
    </xf>
    <xf numFmtId="0" fontId="0" fillId="4" borderId="9" xfId="0" applyFill="1" applyBorder="1" applyAlignment="1">
      <alignment horizontal="left"/>
    </xf>
    <xf numFmtId="0" fontId="3" fillId="2" borderId="10" xfId="0" applyFont="1" applyBorder="1" applyAlignment="1">
      <alignment horizontal="left" vertical="center"/>
    </xf>
    <xf numFmtId="0" fontId="3" fillId="2" borderId="11" xfId="0" applyFont="1" applyBorder="1" applyAlignment="1">
      <alignment horizontal="left" vertical="center"/>
    </xf>
    <xf numFmtId="0" fontId="4" fillId="2" borderId="11" xfId="0" applyFont="1" applyBorder="1" applyAlignment="1">
      <alignment horizontal="left" vertical="center"/>
    </xf>
    <xf numFmtId="0" fontId="0" fillId="2" borderId="11" xfId="0" applyBorder="1" applyAlignment="1">
      <alignment horizontal="left" vertical="center"/>
    </xf>
    <xf numFmtId="164" fontId="4" fillId="2" borderId="12" xfId="0" applyNumberFormat="1" applyFont="1" applyBorder="1" applyAlignment="1">
      <alignment horizontal="left" vertical="center"/>
    </xf>
    <xf numFmtId="2" fontId="4" fillId="2" borderId="1" xfId="0" applyNumberFormat="1" applyFont="1" applyAlignment="1">
      <alignment horizontal="left" vertical="center"/>
    </xf>
    <xf numFmtId="0" fontId="3" fillId="2" borderId="8" xfId="0" applyFont="1" applyBorder="1" applyAlignment="1">
      <alignment horizontal="left" vertical="center"/>
    </xf>
    <xf numFmtId="0" fontId="3" fillId="2" borderId="1" xfId="0" applyFont="1" applyAlignment="1">
      <alignment horizontal="left" vertical="center"/>
    </xf>
    <xf numFmtId="0" fontId="4" fillId="2" borderId="1" xfId="0" applyFont="1" applyAlignment="1">
      <alignment horizontal="left" vertical="center"/>
    </xf>
    <xf numFmtId="0" fontId="4" fillId="2" borderId="9" xfId="0" applyFont="1" applyBorder="1" applyAlignment="1">
      <alignment horizontal="left" vertical="center"/>
    </xf>
    <xf numFmtId="164" fontId="4" fillId="2" borderId="9" xfId="0" applyNumberFormat="1" applyFont="1" applyBorder="1" applyAlignment="1">
      <alignment horizontal="left" vertical="center"/>
    </xf>
    <xf numFmtId="0" fontId="3" fillId="2" borderId="5" xfId="0" applyFont="1" applyBorder="1" applyAlignment="1">
      <alignment horizontal="left" vertical="center"/>
    </xf>
    <xf numFmtId="0" fontId="3" fillId="2" borderId="6" xfId="0" applyFont="1" applyBorder="1" applyAlignment="1">
      <alignment horizontal="left" vertical="center"/>
    </xf>
    <xf numFmtId="1" fontId="4" fillId="2" borderId="6" xfId="0" applyNumberFormat="1" applyFont="1" applyBorder="1" applyAlignment="1">
      <alignment horizontal="left" vertical="center"/>
    </xf>
    <xf numFmtId="0" fontId="0" fillId="2" borderId="6" xfId="0" applyBorder="1" applyAlignment="1">
      <alignment horizontal="left" vertical="center"/>
    </xf>
    <xf numFmtId="0" fontId="4" fillId="2" borderId="7" xfId="0" applyFont="1" applyBorder="1" applyAlignment="1">
      <alignment horizontal="left" vertical="center"/>
    </xf>
    <xf numFmtId="165" fontId="4" fillId="2" borderId="1" xfId="0" applyNumberFormat="1" applyFont="1" applyAlignment="1">
      <alignment horizontal="left" vertical="center"/>
    </xf>
    <xf numFmtId="1" fontId="4" fillId="2" borderId="1" xfId="0" applyNumberFormat="1" applyFont="1" applyAlignment="1">
      <alignment horizontal="left" vertical="center"/>
    </xf>
    <xf numFmtId="0" fontId="2" fillId="4" borderId="13" xfId="0" applyFont="1" applyFill="1" applyBorder="1" applyAlignment="1">
      <alignment horizontal="left" vertical="center"/>
    </xf>
    <xf numFmtId="0" fontId="0" fillId="4" borderId="14" xfId="0" applyFill="1" applyBorder="1" applyAlignment="1">
      <alignment horizontal="left"/>
    </xf>
    <xf numFmtId="0" fontId="0" fillId="4" borderId="15" xfId="0" applyFill="1" applyBorder="1" applyAlignment="1">
      <alignment horizontal="left"/>
    </xf>
    <xf numFmtId="0" fontId="5" fillId="5" borderId="16" xfId="0" applyFont="1" applyFill="1" applyBorder="1"/>
    <xf numFmtId="0" fontId="5" fillId="5" borderId="17" xfId="0" applyFont="1" applyFill="1" applyBorder="1"/>
    <xf numFmtId="0" fontId="5" fillId="5" borderId="18" xfId="0" applyFont="1" applyFill="1" applyBorder="1"/>
    <xf numFmtId="1" fontId="5" fillId="6" borderId="19" xfId="0" applyNumberFormat="1" applyFont="1" applyFill="1" applyBorder="1"/>
    <xf numFmtId="0" fontId="5" fillId="6" borderId="19" xfId="0" applyFont="1" applyFill="1" applyBorder="1"/>
    <xf numFmtId="166" fontId="5" fillId="6" borderId="19" xfId="0" applyNumberFormat="1" applyFont="1" applyFill="1" applyBorder="1"/>
    <xf numFmtId="1" fontId="5" fillId="7" borderId="19" xfId="0" applyNumberFormat="1" applyFont="1" applyFill="1" applyBorder="1"/>
    <xf numFmtId="0" fontId="5" fillId="7" borderId="19" xfId="0" applyFont="1" applyFill="1" applyBorder="1"/>
    <xf numFmtId="166" fontId="5" fillId="7" borderId="19" xfId="0" applyNumberFormat="1" applyFont="1" applyFill="1" applyBorder="1"/>
    <xf numFmtId="0" fontId="0" fillId="2" borderId="20" xfId="0" applyBorder="1"/>
    <xf numFmtId="0" fontId="0" fillId="4" borderId="6" xfId="0" applyFill="1" applyBorder="1" applyAlignment="1">
      <alignment horizontal="left"/>
    </xf>
    <xf numFmtId="0" fontId="0" fillId="4" borderId="7" xfId="0" applyFill="1" applyBorder="1" applyAlignment="1">
      <alignment horizontal="left"/>
    </xf>
    <xf numFmtId="2" fontId="4" fillId="2" borderId="9" xfId="0" applyNumberFormat="1" applyFont="1" applyBorder="1" applyAlignment="1">
      <alignment horizontal="left" vertical="center"/>
    </xf>
    <xf numFmtId="165" fontId="4" fillId="2" borderId="9" xfId="0" applyNumberFormat="1" applyFont="1" applyBorder="1" applyAlignment="1">
      <alignment horizontal="left" vertical="center"/>
    </xf>
    <xf numFmtId="167" fontId="4" fillId="2" borderId="1" xfId="0" applyNumberFormat="1" applyFont="1" applyAlignment="1">
      <alignment horizontal="left" vertical="center"/>
    </xf>
    <xf numFmtId="167" fontId="4" fillId="2" borderId="9" xfId="0" applyNumberFormat="1" applyFont="1" applyBorder="1" applyAlignment="1">
      <alignment horizontal="left" vertical="center"/>
    </xf>
    <xf numFmtId="168" fontId="4" fillId="2" borderId="6" xfId="0" applyNumberFormat="1" applyFont="1" applyBorder="1" applyAlignment="1">
      <alignment horizontal="left" vertical="center"/>
    </xf>
    <xf numFmtId="167" fontId="4" fillId="2" borderId="6" xfId="0" applyNumberFormat="1" applyFont="1" applyBorder="1" applyAlignment="1">
      <alignment horizontal="left" vertical="center"/>
    </xf>
    <xf numFmtId="167" fontId="4" fillId="2" borderId="7" xfId="0" applyNumberFormat="1" applyFont="1" applyBorder="1" applyAlignment="1">
      <alignment horizontal="left" vertical="center"/>
    </xf>
    <xf numFmtId="169" fontId="4" fillId="2" borderId="1" xfId="0" applyNumberFormat="1" applyFont="1" applyAlignment="1">
      <alignment horizontal="left" vertical="center"/>
    </xf>
    <xf numFmtId="0" fontId="2" fillId="4" borderId="10" xfId="0" applyFont="1" applyFill="1" applyBorder="1" applyAlignment="1">
      <alignment horizontal="left" vertical="center"/>
    </xf>
    <xf numFmtId="0" fontId="0" fillId="4" borderId="11" xfId="0" applyFill="1" applyBorder="1" applyAlignment="1">
      <alignment horizontal="left"/>
    </xf>
    <xf numFmtId="0" fontId="0" fillId="4" borderId="12" xfId="0" applyFill="1" applyBorder="1" applyAlignment="1">
      <alignment horizontal="left"/>
    </xf>
    <xf numFmtId="0" fontId="5" fillId="5" borderId="16" xfId="0" applyFont="1" applyFill="1" applyBorder="1" applyAlignment="1">
      <alignment horizontal="left" vertical="center"/>
    </xf>
    <xf numFmtId="0" fontId="5" fillId="5" borderId="4" xfId="0" applyFont="1" applyFill="1" applyBorder="1" applyAlignment="1">
      <alignment horizontal="left" vertical="center"/>
    </xf>
    <xf numFmtId="0" fontId="5" fillId="5" borderId="4" xfId="0" applyFont="1" applyFill="1" applyBorder="1" applyAlignment="1">
      <alignment horizontal="center" vertical="center"/>
    </xf>
    <xf numFmtId="0" fontId="0" fillId="2" borderId="22" xfId="0" applyBorder="1"/>
    <xf numFmtId="0" fontId="5" fillId="5" borderId="17" xfId="0" applyFont="1" applyFill="1" applyBorder="1" applyAlignment="1">
      <alignment horizontal="left" vertical="center"/>
    </xf>
    <xf numFmtId="0" fontId="5" fillId="5" borderId="23" xfId="0" applyFont="1" applyFill="1" applyBorder="1" applyAlignment="1">
      <alignment horizontal="left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18" xfId="0" applyFont="1" applyFill="1" applyBorder="1" applyAlignment="1">
      <alignment horizontal="left" vertical="center"/>
    </xf>
    <xf numFmtId="0" fontId="5" fillId="5" borderId="24" xfId="0" applyFont="1" applyFill="1" applyBorder="1" applyAlignment="1">
      <alignment horizontal="left" vertical="center"/>
    </xf>
    <xf numFmtId="0" fontId="5" fillId="5" borderId="24" xfId="0" applyFont="1" applyFill="1" applyBorder="1" applyAlignment="1">
      <alignment horizontal="center" vertical="center"/>
    </xf>
    <xf numFmtId="0" fontId="5" fillId="8" borderId="16" xfId="0" applyFont="1" applyFill="1" applyBorder="1" applyAlignment="1">
      <alignment horizontal="left" vertical="center"/>
    </xf>
    <xf numFmtId="0" fontId="5" fillId="8" borderId="4" xfId="0" applyFont="1" applyFill="1" applyBorder="1" applyAlignment="1">
      <alignment vertical="center"/>
    </xf>
    <xf numFmtId="170" fontId="5" fillId="8" borderId="4" xfId="0" applyNumberFormat="1" applyFont="1" applyFill="1" applyBorder="1" applyAlignment="1">
      <alignment vertical="center"/>
    </xf>
    <xf numFmtId="171" fontId="5" fillId="8" borderId="4" xfId="0" applyNumberFormat="1" applyFont="1" applyFill="1" applyBorder="1" applyAlignment="1">
      <alignment vertical="center"/>
    </xf>
    <xf numFmtId="172" fontId="5" fillId="8" borderId="4" xfId="0" applyNumberFormat="1" applyFont="1" applyFill="1" applyBorder="1" applyAlignment="1">
      <alignment vertical="center"/>
    </xf>
    <xf numFmtId="2" fontId="5" fillId="8" borderId="4" xfId="0" applyNumberFormat="1" applyFont="1" applyFill="1" applyBorder="1" applyAlignment="1">
      <alignment vertical="center"/>
    </xf>
    <xf numFmtId="0" fontId="5" fillId="8" borderId="17" xfId="0" applyFont="1" applyFill="1" applyBorder="1" applyAlignment="1">
      <alignment horizontal="left" vertical="center"/>
    </xf>
    <xf numFmtId="0" fontId="5" fillId="8" borderId="23" xfId="0" applyFont="1" applyFill="1" applyBorder="1" applyAlignment="1">
      <alignment vertical="center"/>
    </xf>
    <xf numFmtId="170" fontId="5" fillId="8" borderId="23" xfId="0" applyNumberFormat="1" applyFont="1" applyFill="1" applyBorder="1" applyAlignment="1">
      <alignment vertical="center"/>
    </xf>
    <xf numFmtId="171" fontId="5" fillId="8" borderId="23" xfId="0" applyNumberFormat="1" applyFont="1" applyFill="1" applyBorder="1" applyAlignment="1">
      <alignment vertical="center"/>
    </xf>
    <xf numFmtId="172" fontId="5" fillId="8" borderId="23" xfId="0" applyNumberFormat="1" applyFont="1" applyFill="1" applyBorder="1" applyAlignment="1">
      <alignment vertical="center"/>
    </xf>
    <xf numFmtId="2" fontId="5" fillId="8" borderId="23" xfId="0" applyNumberFormat="1" applyFont="1" applyFill="1" applyBorder="1" applyAlignment="1">
      <alignment vertical="center"/>
    </xf>
    <xf numFmtId="0" fontId="5" fillId="8" borderId="18" xfId="0" applyFont="1" applyFill="1" applyBorder="1" applyAlignment="1">
      <alignment horizontal="left" vertical="center"/>
    </xf>
    <xf numFmtId="0" fontId="5" fillId="8" borderId="24" xfId="0" applyFont="1" applyFill="1" applyBorder="1" applyAlignment="1">
      <alignment vertical="center"/>
    </xf>
    <xf numFmtId="170" fontId="5" fillId="8" borderId="24" xfId="0" applyNumberFormat="1" applyFont="1" applyFill="1" applyBorder="1" applyAlignment="1">
      <alignment vertical="center"/>
    </xf>
    <xf numFmtId="171" fontId="5" fillId="8" borderId="24" xfId="0" applyNumberFormat="1" applyFont="1" applyFill="1" applyBorder="1" applyAlignment="1">
      <alignment vertical="center"/>
    </xf>
    <xf numFmtId="172" fontId="5" fillId="8" borderId="24" xfId="0" applyNumberFormat="1" applyFont="1" applyFill="1" applyBorder="1" applyAlignment="1">
      <alignment vertical="center"/>
    </xf>
    <xf numFmtId="2" fontId="5" fillId="8" borderId="24" xfId="0" applyNumberFormat="1" applyFont="1" applyFill="1" applyBorder="1" applyAlignment="1">
      <alignment vertical="center"/>
    </xf>
    <xf numFmtId="0" fontId="7" fillId="9" borderId="25" xfId="0" applyFont="1" applyFill="1" applyBorder="1" applyAlignment="1">
      <alignment vertical="center"/>
    </xf>
    <xf numFmtId="173" fontId="8" fillId="9" borderId="26" xfId="0" applyNumberFormat="1" applyFont="1" applyFill="1" applyBorder="1" applyAlignment="1">
      <alignment vertical="center"/>
    </xf>
    <xf numFmtId="0" fontId="8" fillId="9" borderId="26" xfId="0" applyFont="1" applyFill="1" applyBorder="1" applyAlignment="1">
      <alignment vertical="center"/>
    </xf>
    <xf numFmtId="170" fontId="7" fillId="9" borderId="26" xfId="0" applyNumberFormat="1" applyFont="1" applyFill="1" applyBorder="1" applyAlignment="1">
      <alignment horizontal="center" vertical="center"/>
    </xf>
    <xf numFmtId="0" fontId="8" fillId="9" borderId="27" xfId="0" applyFont="1" applyFill="1" applyBorder="1" applyAlignment="1">
      <alignment horizontal="center"/>
    </xf>
    <xf numFmtId="0" fontId="0" fillId="3" borderId="28" xfId="0" applyFill="1" applyBorder="1"/>
    <xf numFmtId="0" fontId="0" fillId="3" borderId="29" xfId="0" applyFill="1" applyBorder="1"/>
    <xf numFmtId="0" fontId="0" fillId="3" borderId="30" xfId="0" applyFill="1" applyBorder="1"/>
    <xf numFmtId="0" fontId="2" fillId="4" borderId="31" xfId="0" applyFont="1" applyFill="1" applyBorder="1" applyAlignment="1">
      <alignment horizontal="left"/>
    </xf>
    <xf numFmtId="0" fontId="0" fillId="4" borderId="32" xfId="0" applyFill="1" applyBorder="1" applyAlignment="1">
      <alignment horizontal="left"/>
    </xf>
    <xf numFmtId="0" fontId="2" fillId="4" borderId="32" xfId="0" applyFont="1" applyFill="1" applyBorder="1" applyAlignment="1">
      <alignment horizontal="left"/>
    </xf>
    <xf numFmtId="0" fontId="0" fillId="4" borderId="33" xfId="0" applyFill="1" applyBorder="1" applyAlignment="1">
      <alignment horizontal="left"/>
    </xf>
    <xf numFmtId="0" fontId="3" fillId="2" borderId="1" xfId="0" applyFont="1" applyAlignment="1">
      <alignment vertical="center"/>
    </xf>
    <xf numFmtId="167" fontId="0" fillId="2" borderId="9" xfId="0" applyNumberFormat="1" applyBorder="1" applyAlignment="1">
      <alignment horizontal="left" vertical="center"/>
    </xf>
    <xf numFmtId="174" fontId="0" fillId="2" borderId="1" xfId="0" applyNumberFormat="1"/>
    <xf numFmtId="1" fontId="0" fillId="2" borderId="1" xfId="0" applyNumberFormat="1" applyAlignment="1">
      <alignment horizontal="left" vertical="center"/>
    </xf>
    <xf numFmtId="0" fontId="0" fillId="2" borderId="6" xfId="0" applyBorder="1"/>
    <xf numFmtId="1" fontId="0" fillId="2" borderId="6" xfId="0" applyNumberFormat="1" applyBorder="1" applyAlignment="1">
      <alignment horizontal="left" vertical="center"/>
    </xf>
    <xf numFmtId="0" fontId="3" fillId="2" borderId="6" xfId="0" applyFont="1" applyBorder="1" applyAlignment="1">
      <alignment vertical="center"/>
    </xf>
    <xf numFmtId="0" fontId="0" fillId="2" borderId="6" xfId="0" applyBorder="1" applyAlignment="1">
      <alignment vertical="center"/>
    </xf>
    <xf numFmtId="167" fontId="0" fillId="2" borderId="7" xfId="0" applyNumberFormat="1" applyBorder="1" applyAlignment="1">
      <alignment horizontal="left" vertical="center"/>
    </xf>
    <xf numFmtId="0" fontId="2" fillId="4" borderId="31" xfId="0" applyFont="1" applyFill="1" applyBorder="1" applyAlignment="1">
      <alignment horizontal="left" vertical="center"/>
    </xf>
    <xf numFmtId="0" fontId="0" fillId="4" borderId="32" xfId="0" applyFill="1" applyBorder="1" applyAlignment="1">
      <alignment horizontal="left" vertical="center"/>
    </xf>
    <xf numFmtId="0" fontId="9" fillId="4" borderId="32" xfId="0" applyFont="1" applyFill="1" applyBorder="1" applyAlignment="1">
      <alignment horizontal="left"/>
    </xf>
    <xf numFmtId="0" fontId="0" fillId="4" borderId="33" xfId="0" applyFill="1" applyBorder="1" applyAlignment="1">
      <alignment horizontal="left" vertical="center"/>
    </xf>
    <xf numFmtId="1" fontId="5" fillId="8" borderId="16" xfId="0" applyNumberFormat="1" applyFont="1" applyFill="1" applyBorder="1" applyAlignment="1">
      <alignment horizontal="left" vertical="center"/>
    </xf>
    <xf numFmtId="0" fontId="5" fillId="8" borderId="4" xfId="0" applyFont="1" applyFill="1" applyBorder="1" applyAlignment="1">
      <alignment horizontal="left" vertical="center"/>
    </xf>
    <xf numFmtId="0" fontId="5" fillId="8" borderId="4" xfId="0" applyFont="1" applyFill="1" applyBorder="1" applyAlignment="1">
      <alignment horizontal="center"/>
    </xf>
    <xf numFmtId="171" fontId="5" fillId="8" borderId="4" xfId="0" applyNumberFormat="1" applyFont="1" applyFill="1" applyBorder="1"/>
    <xf numFmtId="170" fontId="5" fillId="8" borderId="4" xfId="0" applyNumberFormat="1" applyFont="1" applyFill="1" applyBorder="1"/>
    <xf numFmtId="0" fontId="0" fillId="2" borderId="1" xfId="0" applyAlignment="1">
      <alignment horizontal="center" vertical="center"/>
    </xf>
    <xf numFmtId="1" fontId="5" fillId="8" borderId="17" xfId="0" applyNumberFormat="1" applyFont="1" applyFill="1" applyBorder="1" applyAlignment="1">
      <alignment horizontal="left" vertical="center"/>
    </xf>
    <xf numFmtId="0" fontId="5" fillId="8" borderId="23" xfId="0" applyFont="1" applyFill="1" applyBorder="1" applyAlignment="1">
      <alignment horizontal="left" vertical="center"/>
    </xf>
    <xf numFmtId="0" fontId="5" fillId="8" borderId="23" xfId="0" applyFont="1" applyFill="1" applyBorder="1" applyAlignment="1">
      <alignment horizontal="center"/>
    </xf>
    <xf numFmtId="171" fontId="5" fillId="8" borderId="23" xfId="0" applyNumberFormat="1" applyFont="1" applyFill="1" applyBorder="1"/>
    <xf numFmtId="170" fontId="5" fillId="8" borderId="23" xfId="0" applyNumberFormat="1" applyFont="1" applyFill="1" applyBorder="1"/>
    <xf numFmtId="1" fontId="5" fillId="8" borderId="18" xfId="0" applyNumberFormat="1" applyFont="1" applyFill="1" applyBorder="1" applyAlignment="1">
      <alignment horizontal="left" vertical="center"/>
    </xf>
    <xf numFmtId="0" fontId="5" fillId="8" borderId="24" xfId="0" applyFont="1" applyFill="1" applyBorder="1" applyAlignment="1">
      <alignment horizontal="left" vertical="center"/>
    </xf>
    <xf numFmtId="0" fontId="5" fillId="8" borderId="24" xfId="0" applyFont="1" applyFill="1" applyBorder="1" applyAlignment="1">
      <alignment horizontal="center"/>
    </xf>
    <xf numFmtId="171" fontId="5" fillId="8" borderId="24" xfId="0" applyNumberFormat="1" applyFont="1" applyFill="1" applyBorder="1"/>
    <xf numFmtId="170" fontId="5" fillId="8" borderId="24" xfId="0" applyNumberFormat="1" applyFont="1" applyFill="1" applyBorder="1"/>
    <xf numFmtId="0" fontId="9" fillId="4" borderId="8" xfId="0" applyFont="1" applyFill="1" applyBorder="1" applyAlignment="1">
      <alignment horizontal="left" vertical="center"/>
    </xf>
    <xf numFmtId="0" fontId="8" fillId="4" borderId="1" xfId="0" applyFont="1" applyFill="1" applyAlignment="1">
      <alignment horizontal="left"/>
    </xf>
    <xf numFmtId="0" fontId="8" fillId="4" borderId="6" xfId="0" applyFont="1" applyFill="1" applyBorder="1" applyAlignment="1">
      <alignment horizontal="left"/>
    </xf>
    <xf numFmtId="0" fontId="8" fillId="4" borderId="7" xfId="0" applyFont="1" applyFill="1" applyBorder="1" applyAlignment="1">
      <alignment horizontal="left"/>
    </xf>
    <xf numFmtId="0" fontId="10" fillId="9" borderId="10" xfId="0" applyFont="1" applyFill="1" applyBorder="1" applyAlignment="1">
      <alignment horizontal="left" vertical="center"/>
    </xf>
    <xf numFmtId="0" fontId="10" fillId="9" borderId="11" xfId="0" applyFont="1" applyFill="1" applyBorder="1" applyAlignment="1">
      <alignment horizontal="left" vertical="center"/>
    </xf>
    <xf numFmtId="0" fontId="7" fillId="9" borderId="11" xfId="0" applyFont="1" applyFill="1" applyBorder="1" applyAlignment="1">
      <alignment horizontal="left" vertical="center"/>
    </xf>
    <xf numFmtId="0" fontId="8" fillId="9" borderId="11" xfId="0" applyFont="1" applyFill="1" applyBorder="1" applyAlignment="1">
      <alignment horizontal="left" vertical="center"/>
    </xf>
    <xf numFmtId="2" fontId="7" fillId="9" borderId="1" xfId="0" applyNumberFormat="1" applyFont="1" applyFill="1" applyAlignment="1">
      <alignment horizontal="left" vertical="center"/>
    </xf>
    <xf numFmtId="2" fontId="7" fillId="9" borderId="9" xfId="0" applyNumberFormat="1" applyFont="1" applyFill="1" applyBorder="1" applyAlignment="1">
      <alignment horizontal="left" vertical="center"/>
    </xf>
    <xf numFmtId="0" fontId="10" fillId="9" borderId="8" xfId="0" applyFont="1" applyFill="1" applyBorder="1" applyAlignment="1">
      <alignment horizontal="left" vertical="center"/>
    </xf>
    <xf numFmtId="0" fontId="10" fillId="9" borderId="1" xfId="0" applyFont="1" applyFill="1" applyAlignment="1">
      <alignment horizontal="left" vertical="center"/>
    </xf>
    <xf numFmtId="0" fontId="7" fillId="9" borderId="1" xfId="0" applyFont="1" applyFill="1" applyAlignment="1">
      <alignment horizontal="left" vertical="center"/>
    </xf>
    <xf numFmtId="0" fontId="8" fillId="9" borderId="1" xfId="0" applyFont="1" applyFill="1" applyAlignment="1">
      <alignment horizontal="left" vertical="center"/>
    </xf>
    <xf numFmtId="0" fontId="7" fillId="9" borderId="9" xfId="0" applyFont="1" applyFill="1" applyBorder="1" applyAlignment="1">
      <alignment horizontal="left" vertical="center"/>
    </xf>
    <xf numFmtId="165" fontId="7" fillId="9" borderId="9" xfId="0" applyNumberFormat="1" applyFont="1" applyFill="1" applyBorder="1" applyAlignment="1">
      <alignment horizontal="left" vertical="center"/>
    </xf>
    <xf numFmtId="167" fontId="7" fillId="9" borderId="1" xfId="0" applyNumberFormat="1" applyFont="1" applyFill="1" applyAlignment="1">
      <alignment horizontal="left" vertical="center"/>
    </xf>
    <xf numFmtId="167" fontId="7" fillId="9" borderId="9" xfId="0" applyNumberFormat="1" applyFont="1" applyFill="1" applyBorder="1" applyAlignment="1">
      <alignment horizontal="left" vertical="center"/>
    </xf>
    <xf numFmtId="0" fontId="10" fillId="9" borderId="5" xfId="0" applyFont="1" applyFill="1" applyBorder="1" applyAlignment="1">
      <alignment horizontal="left" vertical="center"/>
    </xf>
    <xf numFmtId="0" fontId="10" fillId="9" borderId="6" xfId="0" applyFont="1" applyFill="1" applyBorder="1" applyAlignment="1">
      <alignment horizontal="left" vertical="center"/>
    </xf>
    <xf numFmtId="168" fontId="7" fillId="9" borderId="6" xfId="0" applyNumberFormat="1" applyFont="1" applyFill="1" applyBorder="1" applyAlignment="1">
      <alignment horizontal="left" vertical="center"/>
    </xf>
    <xf numFmtId="0" fontId="8" fillId="9" borderId="6" xfId="0" applyFont="1" applyFill="1" applyBorder="1" applyAlignment="1">
      <alignment horizontal="left" vertical="center"/>
    </xf>
    <xf numFmtId="167" fontId="7" fillId="9" borderId="6" xfId="0" applyNumberFormat="1" applyFont="1" applyFill="1" applyBorder="1" applyAlignment="1">
      <alignment horizontal="left" vertical="center"/>
    </xf>
    <xf numFmtId="167" fontId="7" fillId="9" borderId="7" xfId="0" applyNumberFormat="1" applyFont="1" applyFill="1" applyBorder="1" applyAlignment="1">
      <alignment horizontal="left" vertical="center"/>
    </xf>
    <xf numFmtId="0" fontId="2" fillId="10" borderId="34" xfId="0" applyFont="1" applyFill="1" applyBorder="1" applyAlignment="1">
      <alignment horizontal="left" vertical="center"/>
    </xf>
    <xf numFmtId="0" fontId="0" fillId="10" borderId="35" xfId="0" applyFill="1" applyBorder="1" applyAlignment="1">
      <alignment horizontal="left"/>
    </xf>
    <xf numFmtId="0" fontId="0" fillId="10" borderId="36" xfId="0" applyFill="1" applyBorder="1" applyAlignment="1">
      <alignment horizontal="left"/>
    </xf>
    <xf numFmtId="170" fontId="5" fillId="8" borderId="4" xfId="0" applyNumberFormat="1" applyFont="1" applyFill="1" applyBorder="1" applyAlignment="1">
      <alignment horizontal="center" vertical="center"/>
    </xf>
    <xf numFmtId="174" fontId="5" fillId="8" borderId="4" xfId="0" applyNumberFormat="1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2" fontId="5" fillId="8" borderId="4" xfId="0" applyNumberFormat="1" applyFont="1" applyFill="1" applyBorder="1" applyAlignment="1">
      <alignment horizontal="center" vertical="center"/>
    </xf>
    <xf numFmtId="170" fontId="5" fillId="8" borderId="23" xfId="0" applyNumberFormat="1" applyFont="1" applyFill="1" applyBorder="1" applyAlignment="1">
      <alignment horizontal="center" vertical="center"/>
    </xf>
    <xf numFmtId="174" fontId="5" fillId="8" borderId="23" xfId="0" applyNumberFormat="1" applyFont="1" applyFill="1" applyBorder="1" applyAlignment="1">
      <alignment horizontal="center" vertical="center"/>
    </xf>
    <xf numFmtId="0" fontId="5" fillId="8" borderId="23" xfId="0" applyFont="1" applyFill="1" applyBorder="1" applyAlignment="1">
      <alignment horizontal="center" vertical="center"/>
    </xf>
    <xf numFmtId="2" fontId="5" fillId="8" borderId="23" xfId="0" applyNumberFormat="1" applyFont="1" applyFill="1" applyBorder="1" applyAlignment="1">
      <alignment horizontal="center" vertical="center"/>
    </xf>
    <xf numFmtId="170" fontId="5" fillId="8" borderId="24" xfId="0" applyNumberFormat="1" applyFont="1" applyFill="1" applyBorder="1" applyAlignment="1">
      <alignment horizontal="center" vertical="center"/>
    </xf>
    <xf numFmtId="174" fontId="5" fillId="8" borderId="24" xfId="0" applyNumberFormat="1" applyFont="1" applyFill="1" applyBorder="1" applyAlignment="1">
      <alignment horizontal="center" vertical="center"/>
    </xf>
    <xf numFmtId="0" fontId="5" fillId="8" borderId="24" xfId="0" applyFont="1" applyFill="1" applyBorder="1" applyAlignment="1">
      <alignment horizontal="center" vertical="center"/>
    </xf>
    <xf numFmtId="2" fontId="5" fillId="8" borderId="24" xfId="0" applyNumberFormat="1" applyFont="1" applyFill="1" applyBorder="1" applyAlignment="1">
      <alignment horizontal="center" vertical="center"/>
    </xf>
    <xf numFmtId="0" fontId="0" fillId="11" borderId="39" xfId="0" applyFill="1" applyBorder="1"/>
    <xf numFmtId="0" fontId="0" fillId="10" borderId="1" xfId="0" applyFill="1" applyAlignment="1">
      <alignment horizontal="left"/>
    </xf>
    <xf numFmtId="0" fontId="0" fillId="4" borderId="30" xfId="0" applyFill="1" applyBorder="1" applyAlignment="1">
      <alignment horizontal="left"/>
    </xf>
    <xf numFmtId="0" fontId="0" fillId="2" borderId="40" xfId="0" applyBorder="1" applyAlignment="1">
      <alignment vertical="center"/>
    </xf>
    <xf numFmtId="0" fontId="10" fillId="2" borderId="41" xfId="0" applyFont="1" applyBorder="1" applyAlignment="1">
      <alignment horizontal="left" vertical="center"/>
    </xf>
    <xf numFmtId="0" fontId="10" fillId="2" borderId="42" xfId="0" applyFont="1" applyBorder="1" applyAlignment="1">
      <alignment horizontal="left" vertical="center"/>
    </xf>
    <xf numFmtId="0" fontId="7" fillId="2" borderId="42" xfId="0" applyFont="1" applyBorder="1" applyAlignment="1">
      <alignment horizontal="left" vertical="center"/>
    </xf>
    <xf numFmtId="0" fontId="0" fillId="2" borderId="3" xfId="0" applyBorder="1" applyAlignment="1">
      <alignment horizontal="left" vertical="center"/>
    </xf>
    <xf numFmtId="2" fontId="7" fillId="2" borderId="43" xfId="0" applyNumberFormat="1" applyFont="1" applyBorder="1" applyAlignment="1">
      <alignment horizontal="left" vertical="center"/>
    </xf>
    <xf numFmtId="2" fontId="7" fillId="9" borderId="38" xfId="0" applyNumberFormat="1" applyFont="1" applyFill="1" applyBorder="1" applyAlignment="1">
      <alignment horizontal="left" vertical="center"/>
    </xf>
    <xf numFmtId="0" fontId="0" fillId="2" borderId="22" xfId="0" applyBorder="1" applyAlignment="1">
      <alignment horizontal="left" vertical="center"/>
    </xf>
    <xf numFmtId="0" fontId="10" fillId="2" borderId="44" xfId="0" applyFont="1" applyBorder="1" applyAlignment="1">
      <alignment horizontal="left" vertical="center"/>
    </xf>
    <xf numFmtId="0" fontId="10" fillId="2" borderId="45" xfId="0" applyFont="1" applyBorder="1" applyAlignment="1">
      <alignment horizontal="left" vertical="center"/>
    </xf>
    <xf numFmtId="0" fontId="7" fillId="2" borderId="45" xfId="0" applyFont="1" applyBorder="1" applyAlignment="1">
      <alignment horizontal="left" vertical="center"/>
    </xf>
    <xf numFmtId="0" fontId="0" fillId="2" borderId="38" xfId="0" applyBorder="1" applyAlignment="1">
      <alignment horizontal="left" vertical="center"/>
    </xf>
    <xf numFmtId="2" fontId="7" fillId="2" borderId="46" xfId="0" applyNumberFormat="1" applyFont="1" applyBorder="1" applyAlignment="1">
      <alignment horizontal="left" vertical="center"/>
    </xf>
    <xf numFmtId="0" fontId="0" fillId="2" borderId="22" xfId="0" applyBorder="1" applyAlignment="1">
      <alignment vertical="center"/>
    </xf>
    <xf numFmtId="0" fontId="7" fillId="2" borderId="46" xfId="0" applyFont="1" applyBorder="1" applyAlignment="1">
      <alignment horizontal="left" vertical="center"/>
    </xf>
    <xf numFmtId="0" fontId="7" fillId="9" borderId="38" xfId="0" applyFont="1" applyFill="1" applyBorder="1" applyAlignment="1">
      <alignment horizontal="left" vertical="center"/>
    </xf>
    <xf numFmtId="165" fontId="7" fillId="9" borderId="38" xfId="0" applyNumberFormat="1" applyFont="1" applyFill="1" applyBorder="1" applyAlignment="1">
      <alignment horizontal="left" vertical="center"/>
    </xf>
    <xf numFmtId="167" fontId="7" fillId="2" borderId="46" xfId="0" applyNumberFormat="1" applyFont="1" applyBorder="1" applyAlignment="1">
      <alignment horizontal="left" vertical="center"/>
    </xf>
    <xf numFmtId="167" fontId="7" fillId="9" borderId="38" xfId="0" applyNumberFormat="1" applyFont="1" applyFill="1" applyBorder="1" applyAlignment="1">
      <alignment horizontal="left" vertical="center"/>
    </xf>
    <xf numFmtId="0" fontId="10" fillId="2" borderId="47" xfId="0" applyFont="1" applyBorder="1" applyAlignment="1">
      <alignment horizontal="left" vertical="center"/>
    </xf>
    <xf numFmtId="0" fontId="10" fillId="2" borderId="48" xfId="0" applyFont="1" applyBorder="1" applyAlignment="1">
      <alignment horizontal="left" vertical="center"/>
    </xf>
    <xf numFmtId="168" fontId="7" fillId="2" borderId="48" xfId="0" applyNumberFormat="1" applyFont="1" applyBorder="1" applyAlignment="1">
      <alignment horizontal="left" vertical="center"/>
    </xf>
    <xf numFmtId="0" fontId="0" fillId="2" borderId="49" xfId="0" applyBorder="1" applyAlignment="1">
      <alignment horizontal="left" vertical="center"/>
    </xf>
    <xf numFmtId="167" fontId="7" fillId="2" borderId="50" xfId="0" applyNumberFormat="1" applyFont="1" applyBorder="1" applyAlignment="1">
      <alignment horizontal="left" vertical="center"/>
    </xf>
    <xf numFmtId="0" fontId="0" fillId="2" borderId="20" xfId="0" applyBorder="1" applyAlignment="1">
      <alignment horizontal="left" vertical="center"/>
    </xf>
    <xf numFmtId="0" fontId="0" fillId="10" borderId="51" xfId="0" applyFill="1" applyBorder="1" applyAlignment="1">
      <alignment horizontal="left"/>
    </xf>
    <xf numFmtId="0" fontId="5" fillId="5" borderId="16" xfId="0" applyFont="1" applyFill="1" applyBorder="1" applyAlignment="1">
      <alignment vertical="center"/>
    </xf>
    <xf numFmtId="0" fontId="5" fillId="5" borderId="16" xfId="0" applyFont="1" applyFill="1" applyBorder="1" applyAlignment="1">
      <alignment horizontal="center" vertical="center"/>
    </xf>
    <xf numFmtId="1" fontId="5" fillId="8" borderId="19" xfId="0" applyNumberFormat="1" applyFont="1" applyFill="1" applyBorder="1" applyAlignment="1">
      <alignment vertical="center"/>
    </xf>
    <xf numFmtId="0" fontId="5" fillId="8" borderId="19" xfId="0" applyFont="1" applyFill="1" applyBorder="1" applyAlignment="1">
      <alignment vertical="center"/>
    </xf>
    <xf numFmtId="0" fontId="5" fillId="8" borderId="19" xfId="0" applyFont="1" applyFill="1" applyBorder="1" applyAlignment="1">
      <alignment horizontal="center" vertical="center"/>
    </xf>
    <xf numFmtId="0" fontId="11" fillId="9" borderId="26" xfId="0" applyFont="1" applyFill="1" applyBorder="1" applyAlignment="1">
      <alignment horizontal="right" vertical="center"/>
    </xf>
    <xf numFmtId="0" fontId="7" fillId="9" borderId="26" xfId="0" applyFont="1" applyFill="1" applyBorder="1" applyAlignment="1">
      <alignment horizontal="left" vertical="center"/>
    </xf>
    <xf numFmtId="0" fontId="7" fillId="9" borderId="52" xfId="0" applyFont="1" applyFill="1" applyBorder="1" applyAlignment="1">
      <alignment horizontal="right" vertical="center"/>
    </xf>
    <xf numFmtId="0" fontId="7" fillId="9" borderId="26" xfId="0" applyFont="1" applyFill="1" applyBorder="1" applyAlignment="1">
      <alignment horizontal="center" vertical="center"/>
    </xf>
    <xf numFmtId="0" fontId="7" fillId="9" borderId="27" xfId="0" applyFont="1" applyFill="1" applyBorder="1" applyAlignment="1">
      <alignment vertical="center"/>
    </xf>
    <xf numFmtId="0" fontId="0" fillId="3" borderId="8" xfId="0" applyFill="1" applyBorder="1"/>
    <xf numFmtId="0" fontId="0" fillId="3" borderId="1" xfId="0" applyFill="1"/>
    <xf numFmtId="0" fontId="0" fillId="3" borderId="9" xfId="0" applyFill="1" applyBorder="1"/>
    <xf numFmtId="164" fontId="7" fillId="9" borderId="12" xfId="0" applyNumberFormat="1" applyFont="1" applyFill="1" applyBorder="1" applyAlignment="1">
      <alignment horizontal="left" vertical="center"/>
    </xf>
    <xf numFmtId="164" fontId="7" fillId="9" borderId="9" xfId="0" applyNumberFormat="1" applyFont="1" applyFill="1" applyBorder="1" applyAlignment="1">
      <alignment horizontal="left" vertical="center"/>
    </xf>
    <xf numFmtId="1" fontId="7" fillId="9" borderId="6" xfId="0" applyNumberFormat="1" applyFont="1" applyFill="1" applyBorder="1" applyAlignment="1">
      <alignment horizontal="left" vertical="center"/>
    </xf>
    <xf numFmtId="0" fontId="7" fillId="9" borderId="7" xfId="0" applyFont="1" applyFill="1" applyBorder="1" applyAlignment="1">
      <alignment horizontal="left" vertical="center"/>
    </xf>
    <xf numFmtId="0" fontId="0" fillId="2" borderId="8" xfId="0" applyBorder="1"/>
    <xf numFmtId="0" fontId="0" fillId="2" borderId="9" xfId="0" applyBorder="1"/>
    <xf numFmtId="0" fontId="9" fillId="4" borderId="53" xfId="0" applyFont="1" applyFill="1" applyBorder="1" applyAlignment="1">
      <alignment horizontal="left"/>
    </xf>
    <xf numFmtId="0" fontId="4" fillId="4" borderId="15" xfId="0" applyFont="1" applyFill="1" applyBorder="1" applyAlignment="1">
      <alignment horizontal="left" vertical="center"/>
    </xf>
    <xf numFmtId="0" fontId="5" fillId="5" borderId="54" xfId="0" applyFont="1" applyFill="1" applyBorder="1" applyAlignment="1">
      <alignment horizontal="left" vertical="center"/>
    </xf>
    <xf numFmtId="0" fontId="5" fillId="5" borderId="54" xfId="0" applyFont="1" applyFill="1" applyBorder="1" applyAlignment="1">
      <alignment horizontal="center" vertical="center"/>
    </xf>
    <xf numFmtId="0" fontId="5" fillId="5" borderId="55" xfId="0" applyFont="1" applyFill="1" applyBorder="1" applyAlignment="1">
      <alignment horizontal="left" vertical="center"/>
    </xf>
    <xf numFmtId="0" fontId="5" fillId="5" borderId="55" xfId="0" applyFont="1" applyFill="1" applyBorder="1" applyAlignment="1">
      <alignment horizontal="center" vertical="center"/>
    </xf>
    <xf numFmtId="0" fontId="5" fillId="5" borderId="56" xfId="0" applyFont="1" applyFill="1" applyBorder="1" applyAlignment="1">
      <alignment horizontal="left" vertical="center"/>
    </xf>
    <xf numFmtId="0" fontId="5" fillId="5" borderId="56" xfId="0" applyFont="1" applyFill="1" applyBorder="1" applyAlignment="1">
      <alignment horizontal="center" vertical="center"/>
    </xf>
    <xf numFmtId="1" fontId="5" fillId="6" borderId="19" xfId="0" applyNumberFormat="1" applyFont="1" applyFill="1" applyBorder="1" applyAlignment="1">
      <alignment horizontal="left" vertical="center"/>
    </xf>
    <xf numFmtId="0" fontId="5" fillId="6" borderId="19" xfId="0" applyFont="1" applyFill="1" applyBorder="1" applyAlignment="1">
      <alignment horizontal="left" vertical="center"/>
    </xf>
    <xf numFmtId="174" fontId="5" fillId="6" borderId="19" xfId="0" applyNumberFormat="1" applyFont="1" applyFill="1" applyBorder="1" applyAlignment="1">
      <alignment horizontal="center" vertical="center"/>
    </xf>
    <xf numFmtId="167" fontId="5" fillId="6" borderId="19" xfId="0" applyNumberFormat="1" applyFont="1" applyFill="1" applyBorder="1" applyAlignment="1">
      <alignment horizontal="center" vertical="center"/>
    </xf>
    <xf numFmtId="2" fontId="5" fillId="6" borderId="19" xfId="0" applyNumberFormat="1" applyFont="1" applyFill="1" applyBorder="1" applyAlignment="1">
      <alignment horizontal="center" vertical="center"/>
    </xf>
    <xf numFmtId="0" fontId="5" fillId="6" borderId="19" xfId="0" applyFont="1" applyFill="1" applyBorder="1" applyAlignment="1">
      <alignment horizontal="center" vertical="center"/>
    </xf>
    <xf numFmtId="1" fontId="5" fillId="7" borderId="19" xfId="0" applyNumberFormat="1" applyFont="1" applyFill="1" applyBorder="1" applyAlignment="1">
      <alignment horizontal="left" vertical="center"/>
    </xf>
    <xf numFmtId="0" fontId="5" fillId="7" borderId="19" xfId="0" applyFont="1" applyFill="1" applyBorder="1" applyAlignment="1">
      <alignment horizontal="left" vertical="center"/>
    </xf>
    <xf numFmtId="174" fontId="5" fillId="7" borderId="19" xfId="0" applyNumberFormat="1" applyFont="1" applyFill="1" applyBorder="1" applyAlignment="1">
      <alignment horizontal="center" vertical="center"/>
    </xf>
    <xf numFmtId="167" fontId="5" fillId="7" borderId="19" xfId="0" applyNumberFormat="1" applyFont="1" applyFill="1" applyBorder="1" applyAlignment="1">
      <alignment horizontal="center" vertical="center"/>
    </xf>
    <xf numFmtId="2" fontId="5" fillId="7" borderId="19" xfId="0" applyNumberFormat="1" applyFont="1" applyFill="1" applyBorder="1" applyAlignment="1">
      <alignment horizontal="center" vertical="center"/>
    </xf>
    <xf numFmtId="0" fontId="5" fillId="7" borderId="19" xfId="0" applyFont="1" applyFill="1" applyBorder="1" applyAlignment="1">
      <alignment horizontal="center" vertical="center"/>
    </xf>
    <xf numFmtId="0" fontId="3" fillId="2" borderId="1" xfId="0" applyFont="1" applyAlignment="1">
      <alignment horizontal="left" vertical="top"/>
    </xf>
    <xf numFmtId="2" fontId="4" fillId="2" borderId="1" xfId="0" applyNumberFormat="1" applyFont="1" applyAlignment="1">
      <alignment horizontal="left" vertical="top"/>
    </xf>
    <xf numFmtId="175" fontId="4" fillId="2" borderId="1" xfId="0" applyNumberFormat="1" applyFont="1" applyAlignment="1">
      <alignment horizontal="left" vertical="top"/>
    </xf>
    <xf numFmtId="0" fontId="12" fillId="2" borderId="57" xfId="0" applyFont="1" applyBorder="1"/>
    <xf numFmtId="0" fontId="12" fillId="2" borderId="58" xfId="0" applyFont="1" applyBorder="1"/>
    <xf numFmtId="0" fontId="5" fillId="2" borderId="38" xfId="0" applyFont="1" applyBorder="1"/>
    <xf numFmtId="0" fontId="6" fillId="3" borderId="21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2" borderId="1" xfId="0" applyAlignment="1">
      <alignment horizontal="center" vertical="center"/>
    </xf>
    <xf numFmtId="0" fontId="6" fillId="3" borderId="37" xfId="0" applyFont="1" applyFill="1" applyBorder="1" applyAlignment="1">
      <alignment horizontal="center" vertical="center"/>
    </xf>
    <xf numFmtId="0" fontId="6" fillId="3" borderId="38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080FF"/>
      <rgbColor rgb="FF802060"/>
      <rgbColor rgb="FFFFFFC0"/>
      <rgbColor rgb="FFA0E0E0"/>
      <rgbColor rgb="FF600080"/>
      <rgbColor rgb="FFFF8080"/>
      <rgbColor rgb="FF0080C0"/>
      <rgbColor rgb="FFC0C0FF"/>
      <rgbColor rgb="FFFFCCCC"/>
      <rgbColor rgb="FFFF6600"/>
      <rgbColor rgb="FFFFCC00"/>
      <rgbColor rgb="FFCCFF00"/>
      <rgbColor rgb="FFCCCCFF"/>
      <rgbColor rgb="FFCC00FF"/>
      <rgbColor rgb="FFC0DCC0"/>
      <rgbColor rgb="FF006600"/>
      <rgbColor rgb="FF00CFFF"/>
      <rgbColor rgb="FF69FFFF"/>
      <rgbColor rgb="FFE0FFE0"/>
      <rgbColor rgb="FFFFFF80"/>
      <rgbColor rgb="FFA6CAF0"/>
      <rgbColor rgb="FFDD9CB3"/>
      <rgbColor rgb="FFB38FEE"/>
      <rgbColor rgb="FFE3E3E3"/>
      <rgbColor rgb="FF2A6FF9"/>
      <rgbColor rgb="FF3FB8CD"/>
      <rgbColor rgb="FF488436"/>
      <rgbColor rgb="FF958C41"/>
      <rgbColor rgb="FF8E5E42"/>
      <rgbColor rgb="FFA0627A"/>
      <rgbColor rgb="FF624FAC"/>
      <rgbColor rgb="FF969696"/>
      <rgbColor rgb="FF1D2FBE"/>
      <rgbColor rgb="FF286676"/>
      <rgbColor rgb="FF004500"/>
      <rgbColor rgb="FF453E01"/>
      <rgbColor rgb="FF6A2813"/>
      <rgbColor rgb="FF85396A"/>
      <rgbColor rgb="FF4A3285"/>
      <rgbColor rgb="FF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12</xdr:row>
      <xdr:rowOff>9525</xdr:rowOff>
    </xdr:from>
    <xdr:to>
      <xdr:col>7</xdr:col>
      <xdr:colOff>704850</xdr:colOff>
      <xdr:row>38</xdr:row>
      <xdr:rowOff>0</xdr:rowOff>
    </xdr:to>
    <xdr:pic>
      <xdr:nvPicPr>
        <xdr:cNvPr id="1026" name="Picture 1025">
          <a:extLst>
            <a:ext uri="{FF2B5EF4-FFF2-40B4-BE49-F238E27FC236}">
              <a16:creationId xmlns:a16="http://schemas.microsoft.com/office/drawing/2014/main" id="{00000000-0008-0000-0100-00000204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solidFill>
            <a:srgbClr val="000000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12</xdr:row>
      <xdr:rowOff>9525</xdr:rowOff>
    </xdr:from>
    <xdr:to>
      <xdr:col>7</xdr:col>
      <xdr:colOff>704850</xdr:colOff>
      <xdr:row>38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14EB5B-BBAC-415D-AAD4-A28BE73736B6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095500"/>
          <a:ext cx="7391400" cy="4200525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8</xdr:col>
      <xdr:colOff>0</xdr:colOff>
      <xdr:row>34</xdr:row>
      <xdr:rowOff>144145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solidFill>
            <a:srgbClr val="000000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8</xdr:col>
      <xdr:colOff>0</xdr:colOff>
      <xdr:row>37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410450" cy="4200525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12</xdr:row>
      <xdr:rowOff>19050</xdr:rowOff>
    </xdr:from>
    <xdr:to>
      <xdr:col>6</xdr:col>
      <xdr:colOff>0</xdr:colOff>
      <xdr:row>36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410450" cy="4200525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8</xdr:col>
      <xdr:colOff>9525</xdr:colOff>
      <xdr:row>45</xdr:row>
      <xdr:rowOff>145415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067550" cy="4048125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1"/>
  <sheetViews>
    <sheetView zoomScaleNormal="100" zoomScaleSheetLayoutView="100" workbookViewId="0">
      <selection sqref="A1:G1"/>
    </sheetView>
  </sheetViews>
  <sheetFormatPr defaultColWidth="9.140625" defaultRowHeight="12.75" x14ac:dyDescent="0.2"/>
  <cols>
    <col min="2" max="2" width="17.85546875" customWidth="1"/>
    <col min="3" max="3" width="8.42578125" customWidth="1"/>
    <col min="4" max="4" width="19.28515625" customWidth="1"/>
    <col min="5" max="5" width="8.140625" customWidth="1"/>
    <col min="6" max="6" width="20" customWidth="1"/>
    <col min="7" max="7" width="18.7109375" customWidth="1"/>
  </cols>
  <sheetData>
    <row r="1" spans="1:8" ht="21" x14ac:dyDescent="0.2">
      <c r="A1" s="240" t="s">
        <v>0</v>
      </c>
      <c r="B1" s="241"/>
      <c r="C1" s="241"/>
      <c r="D1" s="241"/>
      <c r="E1" s="241"/>
      <c r="F1" s="241"/>
      <c r="G1" s="242"/>
    </row>
    <row r="2" spans="1:8" x14ac:dyDescent="0.2">
      <c r="A2" s="5"/>
      <c r="B2" s="6"/>
      <c r="C2" s="6"/>
      <c r="D2" s="6"/>
      <c r="E2" s="6"/>
      <c r="F2" s="6"/>
      <c r="G2" s="7"/>
    </row>
    <row r="3" spans="1:8" ht="15.75" x14ac:dyDescent="0.2">
      <c r="A3" s="8" t="s">
        <v>1</v>
      </c>
      <c r="B3" s="9"/>
      <c r="C3" s="9"/>
      <c r="D3" s="9"/>
      <c r="E3" s="9"/>
      <c r="F3" s="9"/>
      <c r="G3" s="10"/>
      <c r="H3" s="3"/>
    </row>
    <row r="4" spans="1:8" x14ac:dyDescent="0.2">
      <c r="A4" s="11" t="s">
        <v>2</v>
      </c>
      <c r="B4" s="12"/>
      <c r="C4" s="13" t="s">
        <v>3</v>
      </c>
      <c r="D4" s="14"/>
      <c r="E4" s="14"/>
      <c r="F4" s="12" t="s">
        <v>4</v>
      </c>
      <c r="G4" s="15">
        <v>42865.586736805555</v>
      </c>
      <c r="H4" s="16"/>
    </row>
    <row r="5" spans="1:8" x14ac:dyDescent="0.2">
      <c r="A5" s="17" t="s">
        <v>5</v>
      </c>
      <c r="B5" s="18"/>
      <c r="C5" s="19" t="s">
        <v>6</v>
      </c>
      <c r="D5" s="2"/>
      <c r="E5" s="2"/>
      <c r="F5" s="18" t="s">
        <v>7</v>
      </c>
      <c r="G5" s="20" t="s">
        <v>8</v>
      </c>
      <c r="H5" s="16"/>
    </row>
    <row r="6" spans="1:8" x14ac:dyDescent="0.2">
      <c r="A6" s="17" t="s">
        <v>9</v>
      </c>
      <c r="B6" s="18"/>
      <c r="C6" s="19" t="s">
        <v>10</v>
      </c>
      <c r="D6" s="2"/>
      <c r="E6" s="2"/>
      <c r="F6" s="18" t="s">
        <v>11</v>
      </c>
      <c r="G6" s="21">
        <v>45015.525102340107</v>
      </c>
      <c r="H6" s="19"/>
    </row>
    <row r="7" spans="1:8" x14ac:dyDescent="0.2">
      <c r="A7" s="22" t="s">
        <v>12</v>
      </c>
      <c r="B7" s="23"/>
      <c r="C7" s="24">
        <v>7</v>
      </c>
      <c r="D7" s="25"/>
      <c r="E7" s="25"/>
      <c r="F7" s="23" t="s">
        <v>13</v>
      </c>
      <c r="G7" s="26" t="s">
        <v>14</v>
      </c>
      <c r="H7" s="27"/>
    </row>
    <row r="8" spans="1:8" x14ac:dyDescent="0.2">
      <c r="A8" s="18"/>
      <c r="B8" s="18"/>
      <c r="C8" s="19"/>
      <c r="D8" s="2"/>
      <c r="E8" s="2"/>
      <c r="F8" s="18"/>
      <c r="G8" s="28"/>
      <c r="H8" s="19"/>
    </row>
    <row r="9" spans="1:8" ht="15.75" x14ac:dyDescent="0.2">
      <c r="A9" s="29" t="s">
        <v>15</v>
      </c>
      <c r="B9" s="30"/>
      <c r="C9" s="30"/>
      <c r="D9" s="30"/>
      <c r="E9" s="30"/>
      <c r="F9" s="30"/>
      <c r="G9" s="31"/>
      <c r="H9" s="3"/>
    </row>
    <row r="10" spans="1:8" x14ac:dyDescent="0.2">
      <c r="A10" s="32" t="s">
        <v>16</v>
      </c>
      <c r="B10" s="32" t="s">
        <v>17</v>
      </c>
      <c r="C10" s="32" t="s">
        <v>18</v>
      </c>
      <c r="D10" s="32" t="s">
        <v>19</v>
      </c>
      <c r="E10" s="32" t="s">
        <v>20</v>
      </c>
      <c r="F10" s="32" t="s">
        <v>21</v>
      </c>
      <c r="G10" s="32" t="s">
        <v>22</v>
      </c>
    </row>
    <row r="11" spans="1:8" x14ac:dyDescent="0.2">
      <c r="A11" s="33" t="s">
        <v>23</v>
      </c>
      <c r="B11" s="33" t="s">
        <v>23</v>
      </c>
      <c r="C11" s="33" t="s">
        <v>23</v>
      </c>
      <c r="D11" s="33" t="s">
        <v>23</v>
      </c>
      <c r="E11" s="33" t="s">
        <v>23</v>
      </c>
      <c r="F11" s="33" t="s">
        <v>23</v>
      </c>
      <c r="G11" s="33" t="s">
        <v>23</v>
      </c>
    </row>
    <row r="12" spans="1:8" x14ac:dyDescent="0.2">
      <c r="A12" s="33" t="s">
        <v>23</v>
      </c>
      <c r="B12" s="33" t="s">
        <v>23</v>
      </c>
      <c r="C12" s="33" t="s">
        <v>23</v>
      </c>
      <c r="D12" s="33" t="s">
        <v>23</v>
      </c>
      <c r="E12" s="33" t="s">
        <v>23</v>
      </c>
      <c r="F12" s="33" t="s">
        <v>23</v>
      </c>
      <c r="G12" s="33" t="s">
        <v>23</v>
      </c>
    </row>
    <row r="13" spans="1:8" x14ac:dyDescent="0.2">
      <c r="A13" s="34" t="s">
        <v>23</v>
      </c>
      <c r="B13" s="34" t="s">
        <v>23</v>
      </c>
      <c r="C13" s="34" t="s">
        <v>23</v>
      </c>
      <c r="D13" s="34" t="s">
        <v>23</v>
      </c>
      <c r="E13" s="34" t="s">
        <v>23</v>
      </c>
      <c r="F13" s="34" t="s">
        <v>23</v>
      </c>
      <c r="G13" s="34" t="s">
        <v>23</v>
      </c>
    </row>
    <row r="14" spans="1:8" x14ac:dyDescent="0.2">
      <c r="A14" s="35">
        <v>1</v>
      </c>
      <c r="B14" s="36" t="s">
        <v>24</v>
      </c>
      <c r="C14" s="36" t="s">
        <v>25</v>
      </c>
      <c r="D14" s="36" t="s">
        <v>26</v>
      </c>
      <c r="E14" s="36" t="s">
        <v>27</v>
      </c>
      <c r="F14" s="37">
        <v>44754.551724537036</v>
      </c>
      <c r="G14" s="36" t="s">
        <v>28</v>
      </c>
    </row>
    <row r="15" spans="1:8" x14ac:dyDescent="0.2">
      <c r="A15" s="38">
        <v>2</v>
      </c>
      <c r="B15" s="39" t="s">
        <v>29</v>
      </c>
      <c r="C15" s="39" t="s">
        <v>25</v>
      </c>
      <c r="D15" s="39" t="s">
        <v>26</v>
      </c>
      <c r="E15" s="39" t="s">
        <v>27</v>
      </c>
      <c r="F15" s="40">
        <v>44754.552152777775</v>
      </c>
      <c r="G15" s="39" t="s">
        <v>28</v>
      </c>
    </row>
    <row r="16" spans="1:8" x14ac:dyDescent="0.2">
      <c r="A16" s="35">
        <v>3</v>
      </c>
      <c r="B16" s="36" t="s">
        <v>30</v>
      </c>
      <c r="C16" s="36" t="s">
        <v>25</v>
      </c>
      <c r="D16" s="36" t="s">
        <v>26</v>
      </c>
      <c r="E16" s="36" t="s">
        <v>27</v>
      </c>
      <c r="F16" s="37">
        <v>44754.55263888889</v>
      </c>
      <c r="G16" s="36" t="s">
        <v>28</v>
      </c>
    </row>
    <row r="17" spans="1:7" x14ac:dyDescent="0.2">
      <c r="A17" s="38">
        <v>4</v>
      </c>
      <c r="B17" s="39" t="s">
        <v>31</v>
      </c>
      <c r="C17" s="39" t="s">
        <v>25</v>
      </c>
      <c r="D17" s="39" t="s">
        <v>26</v>
      </c>
      <c r="E17" s="39" t="s">
        <v>27</v>
      </c>
      <c r="F17" s="40">
        <v>44754.553148148145</v>
      </c>
      <c r="G17" s="39" t="s">
        <v>28</v>
      </c>
    </row>
    <row r="18" spans="1:7" x14ac:dyDescent="0.2">
      <c r="A18" s="35">
        <v>5</v>
      </c>
      <c r="B18" s="36" t="s">
        <v>32</v>
      </c>
      <c r="C18" s="36" t="s">
        <v>25</v>
      </c>
      <c r="D18" s="36" t="s">
        <v>26</v>
      </c>
      <c r="E18" s="36" t="s">
        <v>27</v>
      </c>
      <c r="F18" s="37">
        <v>44754.553715277776</v>
      </c>
      <c r="G18" s="36" t="s">
        <v>28</v>
      </c>
    </row>
    <row r="19" spans="1:7" x14ac:dyDescent="0.2">
      <c r="A19" s="38">
        <v>6</v>
      </c>
      <c r="B19" s="39" t="s">
        <v>33</v>
      </c>
      <c r="C19" s="39" t="s">
        <v>25</v>
      </c>
      <c r="D19" s="39" t="s">
        <v>26</v>
      </c>
      <c r="E19" s="39" t="s">
        <v>27</v>
      </c>
      <c r="F19" s="40">
        <v>44754.5543287037</v>
      </c>
      <c r="G19" s="39" t="s">
        <v>28</v>
      </c>
    </row>
    <row r="20" spans="1:7" x14ac:dyDescent="0.2">
      <c r="A20" s="35">
        <v>7</v>
      </c>
      <c r="B20" s="36" t="s">
        <v>34</v>
      </c>
      <c r="C20" s="36" t="s">
        <v>35</v>
      </c>
      <c r="D20" s="36" t="s">
        <v>36</v>
      </c>
      <c r="E20" s="36" t="s">
        <v>23</v>
      </c>
      <c r="F20" s="37">
        <v>44754.554756944446</v>
      </c>
      <c r="G20" s="36" t="s">
        <v>28</v>
      </c>
    </row>
    <row r="21" spans="1:7" x14ac:dyDescent="0.2">
      <c r="A21" s="41"/>
      <c r="B21" s="41"/>
      <c r="C21" s="41"/>
      <c r="D21" s="41"/>
      <c r="E21" s="41"/>
      <c r="F21" s="41"/>
      <c r="G21" s="41"/>
    </row>
  </sheetData>
  <mergeCells count="1">
    <mergeCell ref="A1:G1"/>
  </mergeCells>
  <pageMargins left="0.75" right="0.75" top="1" bottom="1" header="0.5" footer="0.5"/>
  <pageSetup fitToHeight="9" orientation="portrait" r:id="rId1"/>
  <headerFooter>
    <oddHeader>&amp;L&amp;08&amp;"Microsoft Sans Serif"Instrument:{seq.instrument}
Sequence:{seq.name}&amp;R&amp;08&amp;"Microsoft Sans Serif"Page &amp;P of &amp;N</oddHeader>
    <oddFooter>&amp;L&amp;08&amp;"Microsoft Sans Serif"{rdf.name}/&amp;A &amp;R&amp;08&amp;"Microsoft Sans Serif"© 2009-2023 Thermo Fisher Scientific Inc. All rights reserved.
Chromeleon {gen.version}</oddFooter>
    <evenHeader>&amp;L&amp;08&amp;"Microsoft Sans Serif"Instrument:{seq.instrument}
Sequence:{seq.name}&amp;R&amp;08&amp;"Microsoft Sans Serif"Page &amp;P of &amp;N</evenHeader>
    <evenFooter>&amp;L&amp;08&amp;"Microsoft Sans Serif"{rdf.name}/&amp;A &amp;R&amp;08&amp;"Microsoft Sans Serif"© 2009-2023 Thermo Fisher Scientific Inc. All rights reserved.
Chromeleon {gen.version}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213"/>
  <sheetViews>
    <sheetView showOutlineSymbols="0" topLeftCell="A16" zoomScaleNormal="100" zoomScaleSheetLayoutView="100" workbookViewId="0">
      <selection activeCell="N41" sqref="N41"/>
    </sheetView>
  </sheetViews>
  <sheetFormatPr defaultColWidth="9.140625" defaultRowHeight="12.75" customHeight="1" x14ac:dyDescent="0.2"/>
  <cols>
    <col min="1" max="1" width="5.85546875" customWidth="1"/>
    <col min="2" max="2" width="21.140625" customWidth="1"/>
    <col min="3" max="3" width="15.42578125" customWidth="1"/>
    <col min="4" max="4" width="14.85546875" customWidth="1"/>
    <col min="5" max="5" width="13.140625" customWidth="1"/>
    <col min="6" max="6" width="15.42578125" customWidth="1"/>
    <col min="7" max="7" width="14.7109375" customWidth="1"/>
    <col min="8" max="8" width="14.5703125" customWidth="1"/>
    <col min="9" max="9" width="15.85546875" customWidth="1"/>
  </cols>
  <sheetData>
    <row r="1" spans="1:8" ht="21" x14ac:dyDescent="0.2">
      <c r="A1" s="237" t="s">
        <v>37</v>
      </c>
      <c r="B1" s="238"/>
      <c r="C1" s="238"/>
      <c r="D1" s="238"/>
      <c r="E1" s="238"/>
      <c r="F1" s="238"/>
      <c r="G1" s="238"/>
      <c r="H1" s="239"/>
    </row>
    <row r="2" spans="1:8" s="1" customFormat="1" ht="12.75" customHeight="1" x14ac:dyDescent="0.2">
      <c r="A2" s="5"/>
      <c r="B2" s="6"/>
      <c r="C2" s="6"/>
      <c r="D2" s="6"/>
      <c r="E2" s="6"/>
      <c r="F2" s="6"/>
      <c r="G2" s="6"/>
      <c r="H2" s="7"/>
    </row>
    <row r="3" spans="1:8" s="1" customFormat="1" ht="15.75" x14ac:dyDescent="0.2">
      <c r="A3" s="8" t="s">
        <v>15</v>
      </c>
      <c r="B3" s="9"/>
      <c r="C3" s="9"/>
      <c r="D3" s="9"/>
      <c r="E3" s="9"/>
      <c r="F3" s="9"/>
      <c r="G3" s="42"/>
      <c r="H3" s="43"/>
    </row>
    <row r="4" spans="1:8" s="2" customFormat="1" ht="12.75" customHeight="1" x14ac:dyDescent="0.2">
      <c r="A4" s="11" t="s">
        <v>38</v>
      </c>
      <c r="B4" s="12"/>
      <c r="C4" s="13" t="s">
        <v>39</v>
      </c>
      <c r="D4" s="14"/>
      <c r="E4" s="14"/>
      <c r="F4" s="12" t="s">
        <v>40</v>
      </c>
      <c r="G4" s="16">
        <v>25.23961666666667</v>
      </c>
      <c r="H4" s="44"/>
    </row>
    <row r="5" spans="1:8" s="1" customFormat="1" ht="12.75" customHeight="1" x14ac:dyDescent="0.2">
      <c r="A5" s="17" t="s">
        <v>41</v>
      </c>
      <c r="B5" s="18"/>
      <c r="C5" s="19" t="s">
        <v>23</v>
      </c>
      <c r="D5" s="2"/>
      <c r="E5" s="2"/>
      <c r="F5" s="18" t="s">
        <v>42</v>
      </c>
      <c r="G5" s="16">
        <v>1</v>
      </c>
      <c r="H5" s="44"/>
    </row>
    <row r="6" spans="1:8" s="1" customFormat="1" ht="12.75" customHeight="1" x14ac:dyDescent="0.2">
      <c r="A6" s="17" t="s">
        <v>43</v>
      </c>
      <c r="B6" s="18"/>
      <c r="C6" s="19" t="s">
        <v>36</v>
      </c>
      <c r="D6" s="2"/>
      <c r="E6" s="2"/>
      <c r="F6" s="18" t="s">
        <v>44</v>
      </c>
      <c r="G6" s="19" t="s">
        <v>45</v>
      </c>
      <c r="H6" s="20"/>
    </row>
    <row r="7" spans="1:8" s="1" customFormat="1" ht="12.75" customHeight="1" x14ac:dyDescent="0.2">
      <c r="A7" s="17" t="s">
        <v>46</v>
      </c>
      <c r="B7" s="18"/>
      <c r="C7" s="19" t="s">
        <v>23</v>
      </c>
      <c r="D7" s="2"/>
      <c r="E7" s="2"/>
      <c r="F7" s="18" t="s">
        <v>47</v>
      </c>
      <c r="G7" s="19" t="s">
        <v>48</v>
      </c>
      <c r="H7" s="45"/>
    </row>
    <row r="8" spans="1:8" s="1" customFormat="1" ht="12.75" customHeight="1" x14ac:dyDescent="0.2">
      <c r="A8" s="17" t="s">
        <v>49</v>
      </c>
      <c r="B8" s="18"/>
      <c r="C8" s="19" t="s">
        <v>23</v>
      </c>
      <c r="D8" s="2"/>
      <c r="E8" s="2"/>
      <c r="F8" s="18" t="s">
        <v>50</v>
      </c>
      <c r="G8" s="19" t="s">
        <v>48</v>
      </c>
      <c r="H8" s="20"/>
    </row>
    <row r="9" spans="1:8" s="1" customFormat="1" ht="12.75" customHeight="1" x14ac:dyDescent="0.2">
      <c r="A9" s="17" t="s">
        <v>51</v>
      </c>
      <c r="B9" s="18"/>
      <c r="C9" s="19" t="s">
        <v>52</v>
      </c>
      <c r="D9" s="2"/>
      <c r="E9" s="2"/>
      <c r="F9" s="18" t="s">
        <v>53</v>
      </c>
      <c r="G9" s="46">
        <v>1</v>
      </c>
      <c r="H9" s="47"/>
    </row>
    <row r="10" spans="1:8" s="2" customFormat="1" ht="12.75" customHeight="1" x14ac:dyDescent="0.2">
      <c r="A10" s="22" t="s">
        <v>54</v>
      </c>
      <c r="B10" s="23"/>
      <c r="C10" s="48">
        <v>46286.988888888889</v>
      </c>
      <c r="D10" s="25"/>
      <c r="E10" s="25"/>
      <c r="F10" s="23" t="s">
        <v>55</v>
      </c>
      <c r="G10" s="49">
        <v>1</v>
      </c>
      <c r="H10" s="50"/>
    </row>
    <row r="11" spans="1:8" s="2" customFormat="1" ht="12.75" customHeight="1" x14ac:dyDescent="0.2">
      <c r="A11" s="18"/>
      <c r="B11" s="18"/>
      <c r="C11" s="51"/>
      <c r="F11" s="18"/>
      <c r="G11" s="18"/>
      <c r="H11" s="46"/>
    </row>
    <row r="12" spans="1:8" s="2" customFormat="1" ht="12.75" customHeight="1" x14ac:dyDescent="0.2">
      <c r="A12" s="29" t="s">
        <v>56</v>
      </c>
      <c r="B12" s="30"/>
      <c r="C12" s="30"/>
      <c r="D12" s="30"/>
      <c r="E12" s="30"/>
      <c r="F12" s="30"/>
      <c r="G12" s="30"/>
      <c r="H12" s="31"/>
    </row>
    <row r="13" spans="1:8" s="2" customFormat="1" ht="12.75" customHeight="1" x14ac:dyDescent="0.2">
      <c r="A13"/>
      <c r="B13"/>
      <c r="C13"/>
      <c r="D13"/>
      <c r="E13"/>
      <c r="F13"/>
      <c r="G13"/>
      <c r="H13"/>
    </row>
    <row r="40" spans="1:10" ht="15.75" x14ac:dyDescent="0.2">
      <c r="A40" s="52" t="s">
        <v>57</v>
      </c>
      <c r="B40" s="53"/>
      <c r="C40" s="53"/>
      <c r="D40" s="53"/>
      <c r="E40" s="53"/>
      <c r="F40" s="53"/>
      <c r="G40" s="53"/>
      <c r="H40" s="54"/>
    </row>
    <row r="41" spans="1:10" ht="12.75" customHeight="1" x14ac:dyDescent="0.2">
      <c r="A41" s="55" t="s">
        <v>58</v>
      </c>
      <c r="B41" s="56" t="s">
        <v>59</v>
      </c>
      <c r="C41" s="57" t="s">
        <v>60</v>
      </c>
      <c r="D41" s="57" t="s">
        <v>61</v>
      </c>
      <c r="E41" s="57" t="s">
        <v>62</v>
      </c>
      <c r="F41" s="57" t="s">
        <v>63</v>
      </c>
      <c r="G41" s="57" t="s">
        <v>64</v>
      </c>
      <c r="H41" s="57" t="s">
        <v>65</v>
      </c>
      <c r="I41" s="57" t="s">
        <v>66</v>
      </c>
      <c r="J41" s="58"/>
    </row>
    <row r="42" spans="1:10" ht="12.75" customHeight="1" x14ac:dyDescent="0.2">
      <c r="A42" s="59" t="s">
        <v>23</v>
      </c>
      <c r="B42" s="60" t="s">
        <v>23</v>
      </c>
      <c r="C42" s="61" t="s">
        <v>67</v>
      </c>
      <c r="D42" s="61" t="s">
        <v>68</v>
      </c>
      <c r="E42" s="61" t="s">
        <v>69</v>
      </c>
      <c r="F42" s="61" t="s">
        <v>70</v>
      </c>
      <c r="G42" s="61" t="s">
        <v>70</v>
      </c>
      <c r="H42" s="61" t="s">
        <v>23</v>
      </c>
      <c r="I42" s="61" t="s">
        <v>23</v>
      </c>
      <c r="J42" s="58"/>
    </row>
    <row r="43" spans="1:10" ht="12.75" hidden="1" customHeight="1" x14ac:dyDescent="0.2">
      <c r="A43" s="62" t="s">
        <v>45</v>
      </c>
      <c r="B43" s="63" t="s">
        <v>45</v>
      </c>
      <c r="C43" s="64" t="s">
        <v>45</v>
      </c>
      <c r="D43" s="64" t="s">
        <v>45</v>
      </c>
      <c r="E43" s="64" t="s">
        <v>45</v>
      </c>
      <c r="F43" s="64" t="s">
        <v>45</v>
      </c>
      <c r="G43" s="64" t="s">
        <v>45</v>
      </c>
      <c r="H43" s="64" t="s">
        <v>45</v>
      </c>
      <c r="I43" s="64" t="s">
        <v>45</v>
      </c>
      <c r="J43" s="58"/>
    </row>
    <row r="44" spans="1:10" ht="12.75" customHeight="1" x14ac:dyDescent="0.2">
      <c r="A44" s="65">
        <v>1</v>
      </c>
      <c r="B44" s="66" t="s">
        <v>71</v>
      </c>
      <c r="C44" s="67">
        <v>3.1211833333333332</v>
      </c>
      <c r="D44" s="68">
        <v>17.094850000000179</v>
      </c>
      <c r="E44" s="67">
        <v>1873.8378640776609</v>
      </c>
      <c r="F44" s="69">
        <v>1.0847612820060155E-2</v>
      </c>
      <c r="G44" s="70">
        <v>4.1294587430016613E-2</v>
      </c>
      <c r="H44" s="66" t="s">
        <v>72</v>
      </c>
      <c r="I44" s="66" t="s">
        <v>73</v>
      </c>
    </row>
    <row r="45" spans="1:10" ht="12.75" customHeight="1" x14ac:dyDescent="0.2">
      <c r="A45" s="71">
        <v>2</v>
      </c>
      <c r="B45" s="72" t="s">
        <v>74</v>
      </c>
      <c r="C45" s="73">
        <v>3.1726833333333335</v>
      </c>
      <c r="D45" s="74">
        <v>402.88680853685992</v>
      </c>
      <c r="E45" s="73">
        <v>2400.081111360083</v>
      </c>
      <c r="F45" s="75">
        <v>0.25565360967294343</v>
      </c>
      <c r="G45" s="76">
        <v>5.2891640836265415E-2</v>
      </c>
      <c r="H45" s="72" t="s">
        <v>75</v>
      </c>
      <c r="I45" s="72" t="s">
        <v>76</v>
      </c>
    </row>
    <row r="46" spans="1:10" ht="12.75" customHeight="1" x14ac:dyDescent="0.2">
      <c r="A46" s="71">
        <v>3</v>
      </c>
      <c r="B46" s="72" t="s">
        <v>77</v>
      </c>
      <c r="C46" s="73">
        <v>3.3042833333333332</v>
      </c>
      <c r="D46" s="74">
        <v>35.565433129808241</v>
      </c>
      <c r="E46" s="73">
        <v>2317.6013892000919</v>
      </c>
      <c r="F46" s="75">
        <v>2.2568203193938294E-2</v>
      </c>
      <c r="G46" s="76">
        <v>5.1073998999032234E-2</v>
      </c>
      <c r="H46" s="72" t="s">
        <v>78</v>
      </c>
      <c r="I46" s="72" t="s">
        <v>79</v>
      </c>
    </row>
    <row r="47" spans="1:10" ht="12.75" customHeight="1" x14ac:dyDescent="0.2">
      <c r="A47" s="71">
        <v>4</v>
      </c>
      <c r="B47" s="72" t="s">
        <v>74</v>
      </c>
      <c r="C47" s="73">
        <v>3.3386166666666668</v>
      </c>
      <c r="D47" s="74">
        <v>63.42780833333245</v>
      </c>
      <c r="E47" s="73">
        <v>2068.906796116491</v>
      </c>
      <c r="F47" s="75">
        <v>4.0248396846124315E-2</v>
      </c>
      <c r="G47" s="76">
        <v>4.5593407100267221E-2</v>
      </c>
      <c r="H47" s="72" t="s">
        <v>75</v>
      </c>
      <c r="I47" s="72" t="s">
        <v>76</v>
      </c>
    </row>
    <row r="48" spans="1:10" ht="12.75" customHeight="1" x14ac:dyDescent="0.2">
      <c r="A48" s="71">
        <v>6</v>
      </c>
      <c r="B48" s="72" t="s">
        <v>77</v>
      </c>
      <c r="C48" s="73">
        <v>3.516</v>
      </c>
      <c r="D48" s="74">
        <v>83.042333333333431</v>
      </c>
      <c r="E48" s="73">
        <v>2273.2254089177641</v>
      </c>
      <c r="F48" s="75">
        <v>5.2694880602893096E-2</v>
      </c>
      <c r="G48" s="76">
        <v>5.0096066045124683E-2</v>
      </c>
      <c r="H48" s="72" t="s">
        <v>78</v>
      </c>
      <c r="I48" s="72" t="s">
        <v>79</v>
      </c>
    </row>
    <row r="49" spans="1:9" ht="12.75" customHeight="1" x14ac:dyDescent="0.2">
      <c r="A49" s="71">
        <v>7</v>
      </c>
      <c r="B49" s="72" t="s">
        <v>77</v>
      </c>
      <c r="C49" s="73">
        <v>3.6018333333333334</v>
      </c>
      <c r="D49" s="74">
        <v>11.859966666666907</v>
      </c>
      <c r="E49" s="73">
        <v>1585.9728155339808</v>
      </c>
      <c r="F49" s="75">
        <v>7.5257944035086993E-3</v>
      </c>
      <c r="G49" s="76">
        <v>3.495077901253428E-2</v>
      </c>
      <c r="H49" s="72" t="s">
        <v>78</v>
      </c>
      <c r="I49" s="72" t="s">
        <v>79</v>
      </c>
    </row>
    <row r="50" spans="1:9" ht="12.75" customHeight="1" x14ac:dyDescent="0.2">
      <c r="A50" s="71">
        <v>8</v>
      </c>
      <c r="B50" s="72" t="s">
        <v>77</v>
      </c>
      <c r="C50" s="73">
        <v>3.6762166666666669</v>
      </c>
      <c r="D50" s="74">
        <v>15.580466666666609</v>
      </c>
      <c r="E50" s="73">
        <v>1237.6402039329987</v>
      </c>
      <c r="F50" s="75">
        <v>9.8866541651930762E-3</v>
      </c>
      <c r="G50" s="76">
        <v>2.7274420369006187E-2</v>
      </c>
      <c r="H50" s="72" t="s">
        <v>78</v>
      </c>
      <c r="I50" s="72" t="s">
        <v>79</v>
      </c>
    </row>
    <row r="51" spans="1:9" ht="12.75" customHeight="1" x14ac:dyDescent="0.2">
      <c r="A51" s="71">
        <v>9</v>
      </c>
      <c r="B51" s="72" t="s">
        <v>80</v>
      </c>
      <c r="C51" s="73">
        <v>3.859316666666667</v>
      </c>
      <c r="D51" s="74">
        <v>155.4701</v>
      </c>
      <c r="E51" s="73">
        <v>2713.9112557820772</v>
      </c>
      <c r="F51" s="75">
        <v>9.865424089102956E-2</v>
      </c>
      <c r="G51" s="76">
        <v>5.9807653467586479E-2</v>
      </c>
      <c r="H51" s="72" t="s">
        <v>23</v>
      </c>
      <c r="I51" s="72" t="s">
        <v>81</v>
      </c>
    </row>
    <row r="52" spans="1:9" ht="12.75" customHeight="1" x14ac:dyDescent="0.2">
      <c r="A52" s="71">
        <v>10</v>
      </c>
      <c r="B52" s="72" t="s">
        <v>82</v>
      </c>
      <c r="C52" s="73">
        <v>4.0710333333333333</v>
      </c>
      <c r="D52" s="74">
        <v>18.955224999999842</v>
      </c>
      <c r="E52" s="73">
        <v>894.26591760299652</v>
      </c>
      <c r="F52" s="75">
        <v>1.2028122020206138E-2</v>
      </c>
      <c r="G52" s="76">
        <v>1.9707330515662203E-2</v>
      </c>
      <c r="H52" s="72" t="s">
        <v>83</v>
      </c>
      <c r="I52" s="72" t="s">
        <v>84</v>
      </c>
    </row>
    <row r="53" spans="1:9" ht="12.75" customHeight="1" x14ac:dyDescent="0.2">
      <c r="A53" s="71">
        <v>12</v>
      </c>
      <c r="B53" s="72" t="s">
        <v>85</v>
      </c>
      <c r="C53" s="73">
        <v>4.2484166666666665</v>
      </c>
      <c r="D53" s="74">
        <v>12.35440000000014</v>
      </c>
      <c r="E53" s="73">
        <v>852.9208737864094</v>
      </c>
      <c r="F53" s="75">
        <v>7.8395392661621075E-3</v>
      </c>
      <c r="G53" s="76">
        <v>1.8796191638915091E-2</v>
      </c>
      <c r="H53" s="72" t="s">
        <v>23</v>
      </c>
      <c r="I53" s="72" t="s">
        <v>86</v>
      </c>
    </row>
    <row r="54" spans="1:9" ht="12.75" customHeight="1" x14ac:dyDescent="0.2">
      <c r="A54" s="71">
        <v>13</v>
      </c>
      <c r="B54" s="72" t="s">
        <v>87</v>
      </c>
      <c r="C54" s="73">
        <v>4.5516833333333331</v>
      </c>
      <c r="D54" s="74">
        <v>21.898733333333254</v>
      </c>
      <c r="E54" s="73">
        <v>465.99063670411761</v>
      </c>
      <c r="F54" s="75">
        <v>1.3895938276717371E-2</v>
      </c>
      <c r="G54" s="76">
        <v>1.0269240182324427E-2</v>
      </c>
      <c r="H54" s="72" t="s">
        <v>23</v>
      </c>
      <c r="I54" s="72" t="s">
        <v>88</v>
      </c>
    </row>
    <row r="55" spans="1:9" ht="12.75" customHeight="1" x14ac:dyDescent="0.2">
      <c r="A55" s="71">
        <v>16</v>
      </c>
      <c r="B55" s="72" t="s">
        <v>89</v>
      </c>
      <c r="C55" s="73">
        <v>5.1868166666666671</v>
      </c>
      <c r="D55" s="74">
        <v>670.09424327594627</v>
      </c>
      <c r="E55" s="73">
        <v>8033.8527084601337</v>
      </c>
      <c r="F55" s="75">
        <v>0.42521127146530019</v>
      </c>
      <c r="G55" s="76">
        <v>0.17704553815955615</v>
      </c>
      <c r="H55" s="72" t="s">
        <v>23</v>
      </c>
      <c r="I55" s="72" t="s">
        <v>90</v>
      </c>
    </row>
    <row r="56" spans="1:9" ht="12.75" customHeight="1" x14ac:dyDescent="0.2">
      <c r="A56" s="71">
        <v>17</v>
      </c>
      <c r="B56" s="72" t="s">
        <v>91</v>
      </c>
      <c r="C56" s="73">
        <v>5.2154333333333334</v>
      </c>
      <c r="D56" s="74">
        <v>237.79912678969907</v>
      </c>
      <c r="E56" s="73">
        <v>6740.7292409355705</v>
      </c>
      <c r="F56" s="75">
        <v>0.15089648966577787</v>
      </c>
      <c r="G56" s="76">
        <v>0.14854840875941816</v>
      </c>
      <c r="H56" s="72" t="s">
        <v>92</v>
      </c>
      <c r="I56" s="72" t="s">
        <v>93</v>
      </c>
    </row>
    <row r="57" spans="1:9" ht="12.75" customHeight="1" x14ac:dyDescent="0.2">
      <c r="A57" s="71">
        <v>19</v>
      </c>
      <c r="B57" s="72" t="s">
        <v>89</v>
      </c>
      <c r="C57" s="73">
        <v>5.3184333333333331</v>
      </c>
      <c r="D57" s="74">
        <v>283.42351287641554</v>
      </c>
      <c r="E57" s="73">
        <v>5079.6960264324844</v>
      </c>
      <c r="F57" s="75">
        <v>0.17984764603284953</v>
      </c>
      <c r="G57" s="76">
        <v>0.11194349079111711</v>
      </c>
      <c r="H57" s="72" t="s">
        <v>23</v>
      </c>
      <c r="I57" s="72" t="s">
        <v>90</v>
      </c>
    </row>
    <row r="58" spans="1:9" ht="12.75" customHeight="1" x14ac:dyDescent="0.2">
      <c r="A58" s="71">
        <v>20</v>
      </c>
      <c r="B58" s="72" t="s">
        <v>89</v>
      </c>
      <c r="C58" s="73">
        <v>5.3642000000000003</v>
      </c>
      <c r="D58" s="74">
        <v>141.75371010201965</v>
      </c>
      <c r="E58" s="73">
        <v>3361.9097469785238</v>
      </c>
      <c r="F58" s="75">
        <v>8.9950444899706231E-2</v>
      </c>
      <c r="G58" s="76">
        <v>7.40878806218188E-2</v>
      </c>
      <c r="H58" s="72" t="s">
        <v>23</v>
      </c>
      <c r="I58" s="72" t="s">
        <v>90</v>
      </c>
    </row>
    <row r="59" spans="1:9" ht="12.75" customHeight="1" x14ac:dyDescent="0.2">
      <c r="A59" s="71">
        <v>24</v>
      </c>
      <c r="B59" s="72" t="s">
        <v>94</v>
      </c>
      <c r="C59" s="73">
        <v>6.6459166666666665</v>
      </c>
      <c r="D59" s="74">
        <v>12.313216666666678</v>
      </c>
      <c r="E59" s="73">
        <v>526.29902912621185</v>
      </c>
      <c r="F59" s="75">
        <v>7.8134061994992905E-3</v>
      </c>
      <c r="G59" s="76">
        <v>1.1598282695222813E-2</v>
      </c>
      <c r="H59" s="72" t="s">
        <v>23</v>
      </c>
      <c r="I59" s="72" t="s">
        <v>95</v>
      </c>
    </row>
    <row r="60" spans="1:9" ht="12.75" customHeight="1" x14ac:dyDescent="0.2">
      <c r="A60" s="71">
        <v>25</v>
      </c>
      <c r="B60" s="72" t="s">
        <v>96</v>
      </c>
      <c r="C60" s="73">
        <v>6.8976833333333332</v>
      </c>
      <c r="D60" s="74">
        <v>189.16676666666515</v>
      </c>
      <c r="E60" s="73">
        <v>5527.4496067579375</v>
      </c>
      <c r="F60" s="75">
        <v>0.12003661004469905</v>
      </c>
      <c r="G60" s="76">
        <v>0.1218108329578597</v>
      </c>
      <c r="H60" s="72" t="s">
        <v>23</v>
      </c>
      <c r="I60" s="72" t="s">
        <v>97</v>
      </c>
    </row>
    <row r="61" spans="1:9" ht="12.75" customHeight="1" x14ac:dyDescent="0.2">
      <c r="A61" s="71">
        <v>26</v>
      </c>
      <c r="B61" s="72" t="s">
        <v>98</v>
      </c>
      <c r="C61" s="73">
        <v>7.0006833333333338</v>
      </c>
      <c r="D61" s="74">
        <v>11.723116666666698</v>
      </c>
      <c r="E61" s="73">
        <v>692.56762380357941</v>
      </c>
      <c r="F61" s="75">
        <v>7.4389556295839506E-3</v>
      </c>
      <c r="G61" s="76">
        <v>1.5262416690695323E-2</v>
      </c>
      <c r="H61" s="72" t="s">
        <v>23</v>
      </c>
      <c r="I61" s="72" t="s">
        <v>99</v>
      </c>
    </row>
    <row r="62" spans="1:9" ht="12.75" customHeight="1" x14ac:dyDescent="0.2">
      <c r="A62" s="71">
        <v>27</v>
      </c>
      <c r="B62" s="72" t="s">
        <v>100</v>
      </c>
      <c r="C62" s="73">
        <v>7.1093999999999999</v>
      </c>
      <c r="D62" s="74">
        <v>18.35553333333349</v>
      </c>
      <c r="E62" s="73">
        <v>639.64062499999943</v>
      </c>
      <c r="F62" s="75">
        <v>1.1647585015704016E-2</v>
      </c>
      <c r="G62" s="76">
        <v>1.4096041188629879E-2</v>
      </c>
      <c r="H62" s="72" t="s">
        <v>23</v>
      </c>
      <c r="I62" s="72" t="s">
        <v>101</v>
      </c>
    </row>
    <row r="63" spans="1:9" ht="12.75" customHeight="1" x14ac:dyDescent="0.2">
      <c r="A63" s="71">
        <v>28</v>
      </c>
      <c r="B63" s="72" t="s">
        <v>102</v>
      </c>
      <c r="C63" s="73">
        <v>7.3096666666666668</v>
      </c>
      <c r="D63" s="74">
        <v>56.250300000000109</v>
      </c>
      <c r="E63" s="73">
        <v>2237</v>
      </c>
      <c r="F63" s="75">
        <v>3.5693877127452096E-2</v>
      </c>
      <c r="G63" s="76">
        <v>4.929775080962856E-2</v>
      </c>
      <c r="H63" s="72" t="s">
        <v>23</v>
      </c>
      <c r="I63" s="72" t="s">
        <v>103</v>
      </c>
    </row>
    <row r="64" spans="1:9" ht="12.75" customHeight="1" x14ac:dyDescent="0.2">
      <c r="A64" s="71">
        <v>29</v>
      </c>
      <c r="B64" s="72" t="s">
        <v>104</v>
      </c>
      <c r="C64" s="73">
        <v>7.567166666666667</v>
      </c>
      <c r="D64" s="74">
        <v>355.40056963666848</v>
      </c>
      <c r="E64" s="73">
        <v>4751.3716667503631</v>
      </c>
      <c r="F64" s="75">
        <v>0.22552100635263644</v>
      </c>
      <c r="G64" s="76">
        <v>0.10470806277666021</v>
      </c>
      <c r="H64" s="72" t="s">
        <v>105</v>
      </c>
      <c r="I64" s="72" t="s">
        <v>106</v>
      </c>
    </row>
    <row r="65" spans="1:9" ht="12.75" customHeight="1" x14ac:dyDescent="0.2">
      <c r="A65" s="71">
        <v>30</v>
      </c>
      <c r="B65" s="72" t="s">
        <v>107</v>
      </c>
      <c r="C65" s="73">
        <v>7.6816000000000004</v>
      </c>
      <c r="D65" s="74">
        <v>213.50855057667587</v>
      </c>
      <c r="E65" s="73">
        <v>2485.6669512378839</v>
      </c>
      <c r="F65" s="75">
        <v>0.13548279689075873</v>
      </c>
      <c r="G65" s="76">
        <v>5.4777733552907625E-2</v>
      </c>
      <c r="H65" s="72" t="s">
        <v>23</v>
      </c>
      <c r="I65" s="72" t="s">
        <v>108</v>
      </c>
    </row>
    <row r="66" spans="1:9" ht="12.75" customHeight="1" x14ac:dyDescent="0.2">
      <c r="A66" s="71">
        <v>31</v>
      </c>
      <c r="B66" s="72" t="s">
        <v>109</v>
      </c>
      <c r="C66" s="73">
        <v>7.8017666666666665</v>
      </c>
      <c r="D66" s="74">
        <v>69.446263119988771</v>
      </c>
      <c r="E66" s="73">
        <v>1256.8523577562405</v>
      </c>
      <c r="F66" s="75">
        <v>4.406743400062902E-2</v>
      </c>
      <c r="G66" s="76">
        <v>2.7697807034940219E-2</v>
      </c>
      <c r="H66" s="72" t="s">
        <v>110</v>
      </c>
      <c r="I66" s="72" t="s">
        <v>111</v>
      </c>
    </row>
    <row r="67" spans="1:9" ht="12.75" customHeight="1" x14ac:dyDescent="0.2">
      <c r="A67" s="71">
        <v>32</v>
      </c>
      <c r="B67" s="72" t="s">
        <v>109</v>
      </c>
      <c r="C67" s="73">
        <v>7.8818666666666672</v>
      </c>
      <c r="D67" s="74">
        <v>17.727883333333622</v>
      </c>
      <c r="E67" s="73">
        <v>748.15890183028773</v>
      </c>
      <c r="F67" s="75">
        <v>1.1249306926893103E-2</v>
      </c>
      <c r="G67" s="76">
        <v>1.6487506083341475E-2</v>
      </c>
      <c r="H67" s="72" t="s">
        <v>110</v>
      </c>
      <c r="I67" s="72" t="s">
        <v>111</v>
      </c>
    </row>
    <row r="68" spans="1:9" ht="12.75" customHeight="1" x14ac:dyDescent="0.2">
      <c r="A68" s="71">
        <v>33</v>
      </c>
      <c r="B68" s="72" t="s">
        <v>112</v>
      </c>
      <c r="C68" s="73">
        <v>8.0134666666666661</v>
      </c>
      <c r="D68" s="74">
        <v>13.773941666666772</v>
      </c>
      <c r="E68" s="73">
        <v>812.86525855789944</v>
      </c>
      <c r="F68" s="75">
        <v>8.7403157211729636E-3</v>
      </c>
      <c r="G68" s="76">
        <v>1.7913468465888073E-2</v>
      </c>
      <c r="H68" s="72" t="s">
        <v>113</v>
      </c>
      <c r="I68" s="72" t="s">
        <v>114</v>
      </c>
    </row>
    <row r="69" spans="1:9" ht="12.75" customHeight="1" x14ac:dyDescent="0.2">
      <c r="A69" s="71">
        <v>34</v>
      </c>
      <c r="B69" s="72" t="s">
        <v>115</v>
      </c>
      <c r="C69" s="73">
        <v>8.0707000000000004</v>
      </c>
      <c r="D69" s="74">
        <v>14.771316666666561</v>
      </c>
      <c r="E69" s="73">
        <v>1112.2269902912626</v>
      </c>
      <c r="F69" s="75">
        <v>9.3732044470994907E-3</v>
      </c>
      <c r="G69" s="76">
        <v>2.4510634336665994E-2</v>
      </c>
      <c r="H69" s="72" t="s">
        <v>23</v>
      </c>
      <c r="I69" s="72" t="s">
        <v>116</v>
      </c>
    </row>
    <row r="70" spans="1:9" ht="12.75" customHeight="1" x14ac:dyDescent="0.2">
      <c r="A70" s="71">
        <v>35</v>
      </c>
      <c r="B70" s="72" t="s">
        <v>115</v>
      </c>
      <c r="C70" s="73">
        <v>8.122183333333334</v>
      </c>
      <c r="D70" s="74">
        <v>36.271058333334359</v>
      </c>
      <c r="E70" s="73">
        <v>1885.546019417475</v>
      </c>
      <c r="F70" s="75">
        <v>2.3015960793678996E-2</v>
      </c>
      <c r="G70" s="76">
        <v>4.1552605187898856E-2</v>
      </c>
      <c r="H70" s="72" t="s">
        <v>23</v>
      </c>
      <c r="I70" s="72" t="s">
        <v>116</v>
      </c>
    </row>
    <row r="71" spans="1:9" ht="12.75" customHeight="1" x14ac:dyDescent="0.2">
      <c r="A71" s="71">
        <v>36</v>
      </c>
      <c r="B71" s="72" t="s">
        <v>117</v>
      </c>
      <c r="C71" s="73">
        <v>8.1794166666666666</v>
      </c>
      <c r="D71" s="74">
        <v>28.248208333332698</v>
      </c>
      <c r="E71" s="73">
        <v>1547.5132872224249</v>
      </c>
      <c r="F71" s="75">
        <v>1.792502577445176E-2</v>
      </c>
      <c r="G71" s="76">
        <v>3.4103229507411827E-2</v>
      </c>
      <c r="H71" s="72" t="s">
        <v>118</v>
      </c>
      <c r="I71" s="72" t="s">
        <v>119</v>
      </c>
    </row>
    <row r="72" spans="1:9" ht="12.75" customHeight="1" x14ac:dyDescent="0.2">
      <c r="A72" s="71">
        <v>38</v>
      </c>
      <c r="B72" s="72" t="s">
        <v>120</v>
      </c>
      <c r="C72" s="73">
        <v>8.3625166666666662</v>
      </c>
      <c r="D72" s="74">
        <v>52.296000000002152</v>
      </c>
      <c r="E72" s="73">
        <v>2064.4999999999914</v>
      </c>
      <c r="F72" s="75">
        <v>3.3184658539728823E-2</v>
      </c>
      <c r="G72" s="76">
        <v>4.5496292600124152E-2</v>
      </c>
      <c r="H72" s="72" t="s">
        <v>121</v>
      </c>
      <c r="I72" s="72" t="s">
        <v>122</v>
      </c>
    </row>
    <row r="73" spans="1:9" ht="12.75" customHeight="1" x14ac:dyDescent="0.2">
      <c r="A73" s="71">
        <v>39</v>
      </c>
      <c r="B73" s="72" t="s">
        <v>123</v>
      </c>
      <c r="C73" s="73">
        <v>8.4254499999999997</v>
      </c>
      <c r="D73" s="74">
        <v>16.954716666666425</v>
      </c>
      <c r="E73" s="73">
        <v>673</v>
      </c>
      <c r="F73" s="75">
        <v>1.0758690592419141E-2</v>
      </c>
      <c r="G73" s="76">
        <v>1.4831196376790354E-2</v>
      </c>
      <c r="H73" s="72" t="s">
        <v>23</v>
      </c>
      <c r="I73" s="72" t="s">
        <v>124</v>
      </c>
    </row>
    <row r="74" spans="1:9" ht="12.75" customHeight="1" x14ac:dyDescent="0.2">
      <c r="A74" s="71">
        <v>40</v>
      </c>
      <c r="B74" s="72" t="s">
        <v>125</v>
      </c>
      <c r="C74" s="73">
        <v>8.4712333333333341</v>
      </c>
      <c r="D74" s="74">
        <v>97.910416666665824</v>
      </c>
      <c r="E74" s="73">
        <v>3259</v>
      </c>
      <c r="F74" s="75">
        <v>6.2129488767128378E-2</v>
      </c>
      <c r="G74" s="76">
        <v>7.1820013361010043E-2</v>
      </c>
      <c r="H74" s="72" t="s">
        <v>23</v>
      </c>
      <c r="I74" s="72" t="s">
        <v>126</v>
      </c>
    </row>
    <row r="75" spans="1:9" ht="12.75" customHeight="1" x14ac:dyDescent="0.2">
      <c r="A75" s="71">
        <v>41</v>
      </c>
      <c r="B75" s="72" t="s">
        <v>127</v>
      </c>
      <c r="C75" s="73">
        <v>8.5513333333333339</v>
      </c>
      <c r="D75" s="74">
        <v>275.37843333333586</v>
      </c>
      <c r="E75" s="73">
        <v>9633.2572364827938</v>
      </c>
      <c r="F75" s="75">
        <v>0.17474260515855614</v>
      </c>
      <c r="G75" s="76">
        <v>0.21229231771532403</v>
      </c>
      <c r="H75" s="72" t="s">
        <v>128</v>
      </c>
      <c r="I75" s="72" t="s">
        <v>129</v>
      </c>
    </row>
    <row r="76" spans="1:9" ht="12.75" customHeight="1" x14ac:dyDescent="0.2">
      <c r="A76" s="71">
        <v>42</v>
      </c>
      <c r="B76" s="72" t="s">
        <v>123</v>
      </c>
      <c r="C76" s="73">
        <v>8.6257166666666674</v>
      </c>
      <c r="D76" s="74">
        <v>10.976474999999827</v>
      </c>
      <c r="E76" s="73">
        <v>494.64951456310621</v>
      </c>
      <c r="F76" s="75">
        <v>6.9651708514006658E-3</v>
      </c>
      <c r="G76" s="76">
        <v>1.0900808451960547E-2</v>
      </c>
      <c r="H76" s="72" t="s">
        <v>23</v>
      </c>
      <c r="I76" s="72" t="s">
        <v>124</v>
      </c>
    </row>
    <row r="77" spans="1:9" ht="12.75" customHeight="1" x14ac:dyDescent="0.2">
      <c r="A77" s="71">
        <v>43</v>
      </c>
      <c r="B77" s="72" t="s">
        <v>130</v>
      </c>
      <c r="C77" s="73">
        <v>8.7115500000000008</v>
      </c>
      <c r="D77" s="74">
        <v>15.207666666667272</v>
      </c>
      <c r="E77" s="73">
        <v>837.97961165048628</v>
      </c>
      <c r="F77" s="75">
        <v>9.6500922732015576E-3</v>
      </c>
      <c r="G77" s="76">
        <v>1.84669244875704E-2</v>
      </c>
      <c r="H77" s="72" t="s">
        <v>23</v>
      </c>
      <c r="I77" s="72" t="s">
        <v>131</v>
      </c>
    </row>
    <row r="78" spans="1:9" ht="12.75" customHeight="1" x14ac:dyDescent="0.2">
      <c r="A78" s="71">
        <v>44</v>
      </c>
      <c r="B78" s="72" t="s">
        <v>132</v>
      </c>
      <c r="C78" s="73">
        <v>8.7916666666666661</v>
      </c>
      <c r="D78" s="74">
        <v>75.94806427513052</v>
      </c>
      <c r="E78" s="73">
        <v>2391.2109458837958</v>
      </c>
      <c r="F78" s="75">
        <v>4.8193180735113202E-2</v>
      </c>
      <c r="G78" s="76">
        <v>5.2696165106587201E-2</v>
      </c>
      <c r="H78" s="72" t="s">
        <v>23</v>
      </c>
      <c r="I78" s="72" t="s">
        <v>133</v>
      </c>
    </row>
    <row r="79" spans="1:9" ht="12.75" customHeight="1" x14ac:dyDescent="0.2">
      <c r="A79" s="71">
        <v>45</v>
      </c>
      <c r="B79" s="72" t="s">
        <v>134</v>
      </c>
      <c r="C79" s="73">
        <v>8.8202666666666669</v>
      </c>
      <c r="D79" s="74">
        <v>85.472660724869655</v>
      </c>
      <c r="E79" s="73">
        <v>2378.0507435229192</v>
      </c>
      <c r="F79" s="75">
        <v>5.4237055618723683E-2</v>
      </c>
      <c r="G79" s="76">
        <v>5.2406147951204643E-2</v>
      </c>
      <c r="H79" s="72" t="s">
        <v>23</v>
      </c>
      <c r="I79" s="72" t="s">
        <v>135</v>
      </c>
    </row>
    <row r="80" spans="1:9" ht="12.75" customHeight="1" x14ac:dyDescent="0.2">
      <c r="A80" s="71">
        <v>46</v>
      </c>
      <c r="B80" s="72" t="s">
        <v>136</v>
      </c>
      <c r="C80" s="73">
        <v>8.9633166666666675</v>
      </c>
      <c r="D80" s="74">
        <v>10.405725000000082</v>
      </c>
      <c r="E80" s="73">
        <v>622.88264669163459</v>
      </c>
      <c r="F80" s="75">
        <v>6.602998909731303E-3</v>
      </c>
      <c r="G80" s="76">
        <v>1.3726738265644215E-2</v>
      </c>
      <c r="H80" s="72" t="s">
        <v>23</v>
      </c>
      <c r="I80" s="72" t="s">
        <v>137</v>
      </c>
    </row>
    <row r="81" spans="1:9" ht="12.75" customHeight="1" x14ac:dyDescent="0.2">
      <c r="A81" s="71">
        <v>47</v>
      </c>
      <c r="B81" s="72" t="s">
        <v>138</v>
      </c>
      <c r="C81" s="73">
        <v>9.0319833333333328</v>
      </c>
      <c r="D81" s="74">
        <v>22.968149266189855</v>
      </c>
      <c r="E81" s="73">
        <v>748.46381357831001</v>
      </c>
      <c r="F81" s="75">
        <v>1.4574540895823811E-2</v>
      </c>
      <c r="G81" s="76">
        <v>1.6494225557357092E-2</v>
      </c>
      <c r="H81" s="72" t="s">
        <v>23</v>
      </c>
      <c r="I81" s="72" t="s">
        <v>139</v>
      </c>
    </row>
    <row r="82" spans="1:9" ht="12.75" customHeight="1" x14ac:dyDescent="0.2">
      <c r="A82" s="71">
        <v>48</v>
      </c>
      <c r="B82" s="72" t="s">
        <v>140</v>
      </c>
      <c r="C82" s="73">
        <v>9.0663166666666672</v>
      </c>
      <c r="D82" s="74">
        <v>34.681709067143771</v>
      </c>
      <c r="E82" s="73">
        <v>1725.3914407349328</v>
      </c>
      <c r="F82" s="75">
        <v>2.2007432173920295E-2</v>
      </c>
      <c r="G82" s="76">
        <v>3.8023208446319498E-2</v>
      </c>
      <c r="H82" s="72" t="s">
        <v>23</v>
      </c>
      <c r="I82" s="72" t="s">
        <v>141</v>
      </c>
    </row>
    <row r="83" spans="1:9" ht="12.75" customHeight="1" x14ac:dyDescent="0.2">
      <c r="A83" s="71">
        <v>49</v>
      </c>
      <c r="B83" s="72" t="s">
        <v>142</v>
      </c>
      <c r="C83" s="73">
        <v>9.1235333333333344</v>
      </c>
      <c r="D83" s="74">
        <v>28.927533333333997</v>
      </c>
      <c r="E83" s="73">
        <v>1020.5416997617165</v>
      </c>
      <c r="F83" s="75">
        <v>1.8356094463501466E-2</v>
      </c>
      <c r="G83" s="76">
        <v>2.2490125348988761E-2</v>
      </c>
      <c r="H83" s="72" t="s">
        <v>23</v>
      </c>
      <c r="I83" s="72" t="s">
        <v>143</v>
      </c>
    </row>
    <row r="84" spans="1:9" ht="12.75" customHeight="1" x14ac:dyDescent="0.2">
      <c r="A84" s="71">
        <v>51</v>
      </c>
      <c r="B84" s="72" t="s">
        <v>144</v>
      </c>
      <c r="C84" s="73">
        <v>9.2837499999999995</v>
      </c>
      <c r="D84" s="74">
        <v>115.43265443307814</v>
      </c>
      <c r="E84" s="73">
        <v>2427.7830349531114</v>
      </c>
      <c r="F84" s="75">
        <v>7.3248302388252542E-2</v>
      </c>
      <c r="G84" s="76">
        <v>5.3502120284739489E-2</v>
      </c>
      <c r="H84" s="72" t="s">
        <v>145</v>
      </c>
      <c r="I84" s="72" t="s">
        <v>146</v>
      </c>
    </row>
    <row r="85" spans="1:9" ht="12.75" customHeight="1" x14ac:dyDescent="0.2">
      <c r="A85" s="71">
        <v>52</v>
      </c>
      <c r="B85" s="72" t="s">
        <v>147</v>
      </c>
      <c r="C85" s="73">
        <v>9.3409666666666666</v>
      </c>
      <c r="D85" s="74">
        <v>43.492947186700697</v>
      </c>
      <c r="E85" s="73">
        <v>1375.6349104859337</v>
      </c>
      <c r="F85" s="75">
        <v>2.7598642368002572E-2</v>
      </c>
      <c r="G85" s="76">
        <v>3.0315470282593314E-2</v>
      </c>
      <c r="H85" s="72" t="s">
        <v>148</v>
      </c>
      <c r="I85" s="72" t="s">
        <v>149</v>
      </c>
    </row>
    <row r="86" spans="1:9" ht="12.75" customHeight="1" x14ac:dyDescent="0.2">
      <c r="A86" s="71">
        <v>53</v>
      </c>
      <c r="B86" s="72" t="s">
        <v>144</v>
      </c>
      <c r="C86" s="73">
        <v>9.3924666666666674</v>
      </c>
      <c r="D86" s="74">
        <v>34.051520927464878</v>
      </c>
      <c r="E86" s="73">
        <v>1026.9047314578011</v>
      </c>
      <c r="F86" s="75">
        <v>2.1607543497328775E-2</v>
      </c>
      <c r="G86" s="76">
        <v>2.2630350271182483E-2</v>
      </c>
      <c r="H86" s="72" t="s">
        <v>145</v>
      </c>
      <c r="I86" s="72" t="s">
        <v>146</v>
      </c>
    </row>
    <row r="87" spans="1:9" ht="12.75" customHeight="1" x14ac:dyDescent="0.2">
      <c r="A87" s="71">
        <v>54</v>
      </c>
      <c r="B87" s="72" t="s">
        <v>144</v>
      </c>
      <c r="C87" s="73">
        <v>9.4439666666666664</v>
      </c>
      <c r="D87" s="74">
        <v>23.335543300065893</v>
      </c>
      <c r="E87" s="73">
        <v>930.04137753790815</v>
      </c>
      <c r="F87" s="75">
        <v>1.4807672408056286E-2</v>
      </c>
      <c r="G87" s="76">
        <v>2.0495730027942544E-2</v>
      </c>
      <c r="H87" s="72" t="s">
        <v>145</v>
      </c>
      <c r="I87" s="72" t="s">
        <v>146</v>
      </c>
    </row>
    <row r="88" spans="1:9" ht="12.75" customHeight="1" x14ac:dyDescent="0.2">
      <c r="A88" s="71">
        <v>55</v>
      </c>
      <c r="B88" s="72" t="s">
        <v>150</v>
      </c>
      <c r="C88" s="73">
        <v>9.6041833333333333</v>
      </c>
      <c r="D88" s="74">
        <v>346.34565669992833</v>
      </c>
      <c r="E88" s="73">
        <v>6406.8678146149241</v>
      </c>
      <c r="F88" s="75">
        <v>0.21977517122351212</v>
      </c>
      <c r="G88" s="76">
        <v>0.14119095797725348</v>
      </c>
      <c r="H88" s="72" t="s">
        <v>23</v>
      </c>
      <c r="I88" s="72" t="s">
        <v>151</v>
      </c>
    </row>
    <row r="89" spans="1:9" ht="12.75" customHeight="1" x14ac:dyDescent="0.2">
      <c r="A89" s="71">
        <v>56</v>
      </c>
      <c r="B89" s="72" t="s">
        <v>152</v>
      </c>
      <c r="C89" s="73">
        <v>9.7300666666666675</v>
      </c>
      <c r="D89" s="74">
        <v>8864.5707083334692</v>
      </c>
      <c r="E89" s="73">
        <v>237427.52068876894</v>
      </c>
      <c r="F89" s="75">
        <v>5.6250526246236072</v>
      </c>
      <c r="G89" s="76">
        <v>5.2322944793307373</v>
      </c>
      <c r="H89" s="72" t="s">
        <v>153</v>
      </c>
      <c r="I89" s="72" t="s">
        <v>154</v>
      </c>
    </row>
    <row r="90" spans="1:9" ht="12.75" customHeight="1" x14ac:dyDescent="0.2">
      <c r="A90" s="71">
        <v>57</v>
      </c>
      <c r="B90" s="72" t="s">
        <v>155</v>
      </c>
      <c r="C90" s="73">
        <v>9.8788333333333327</v>
      </c>
      <c r="D90" s="74">
        <v>263.3850179773849</v>
      </c>
      <c r="E90" s="73">
        <v>9541.8103597575391</v>
      </c>
      <c r="F90" s="75">
        <v>0.16713213029790991</v>
      </c>
      <c r="G90" s="76">
        <v>0.21027706275729074</v>
      </c>
      <c r="H90" s="72" t="s">
        <v>156</v>
      </c>
      <c r="I90" s="72" t="s">
        <v>157</v>
      </c>
    </row>
    <row r="91" spans="1:9" ht="12.75" customHeight="1" x14ac:dyDescent="0.2">
      <c r="A91" s="71">
        <v>58</v>
      </c>
      <c r="B91" s="72" t="s">
        <v>158</v>
      </c>
      <c r="C91" s="73">
        <v>9.9246166666666671</v>
      </c>
      <c r="D91" s="74">
        <v>117.05896005930254</v>
      </c>
      <c r="E91" s="73">
        <v>2909.8880579390693</v>
      </c>
      <c r="F91" s="75">
        <v>7.4280281830035738E-2</v>
      </c>
      <c r="G91" s="76">
        <v>6.4126480270091296E-2</v>
      </c>
      <c r="H91" s="72" t="s">
        <v>159</v>
      </c>
      <c r="I91" s="72" t="s">
        <v>160</v>
      </c>
    </row>
    <row r="92" spans="1:9" ht="12.75" customHeight="1" x14ac:dyDescent="0.2">
      <c r="A92" s="71">
        <v>59</v>
      </c>
      <c r="B92" s="72" t="s">
        <v>161</v>
      </c>
      <c r="C92" s="73">
        <v>9.9589499999999997</v>
      </c>
      <c r="D92" s="74">
        <v>13.306975000000222</v>
      </c>
      <c r="E92" s="73">
        <v>832.63599301106569</v>
      </c>
      <c r="F92" s="75">
        <v>8.4439999535661833E-3</v>
      </c>
      <c r="G92" s="76">
        <v>1.8349164818322373E-2</v>
      </c>
      <c r="H92" s="72" t="s">
        <v>23</v>
      </c>
      <c r="I92" s="72" t="s">
        <v>162</v>
      </c>
    </row>
    <row r="93" spans="1:9" ht="12.75" customHeight="1" x14ac:dyDescent="0.2">
      <c r="A93" s="71">
        <v>60</v>
      </c>
      <c r="B93" s="72" t="s">
        <v>163</v>
      </c>
      <c r="C93" s="73">
        <v>10.021883333333333</v>
      </c>
      <c r="D93" s="74">
        <v>127.17353029664667</v>
      </c>
      <c r="E93" s="73">
        <v>4439.1896402424627</v>
      </c>
      <c r="F93" s="75">
        <v>8.0698527194927039E-2</v>
      </c>
      <c r="G93" s="76">
        <v>9.7828370443163865E-2</v>
      </c>
      <c r="H93" s="72" t="s">
        <v>23</v>
      </c>
      <c r="I93" s="72" t="s">
        <v>164</v>
      </c>
    </row>
    <row r="94" spans="1:9" ht="12.75" customHeight="1" x14ac:dyDescent="0.2">
      <c r="A94" s="71">
        <v>61</v>
      </c>
      <c r="B94" s="72" t="s">
        <v>165</v>
      </c>
      <c r="C94" s="73">
        <v>10.136333333333333</v>
      </c>
      <c r="D94" s="74">
        <v>66.808916666667201</v>
      </c>
      <c r="E94" s="73">
        <v>3601.3403883495139</v>
      </c>
      <c r="F94" s="75">
        <v>4.2393894121777152E-2</v>
      </c>
      <c r="G94" s="76">
        <v>7.936431875078466E-2</v>
      </c>
      <c r="H94" s="72" t="s">
        <v>23</v>
      </c>
      <c r="I94" s="72" t="s">
        <v>166</v>
      </c>
    </row>
    <row r="95" spans="1:9" ht="12.75" customHeight="1" x14ac:dyDescent="0.2">
      <c r="A95" s="71">
        <v>62</v>
      </c>
      <c r="B95" s="72" t="s">
        <v>167</v>
      </c>
      <c r="C95" s="73">
        <v>10.176383333333334</v>
      </c>
      <c r="D95" s="74">
        <v>17.143041666666306</v>
      </c>
      <c r="E95" s="73">
        <v>823.20000000000027</v>
      </c>
      <c r="F95" s="75">
        <v>1.0878193055695306E-2</v>
      </c>
      <c r="G95" s="76">
        <v>1.8141219698920984E-2</v>
      </c>
      <c r="H95" s="72" t="s">
        <v>23</v>
      </c>
      <c r="I95" s="72" t="s">
        <v>168</v>
      </c>
    </row>
    <row r="96" spans="1:9" ht="12.75" customHeight="1" x14ac:dyDescent="0.2">
      <c r="A96" s="71">
        <v>63</v>
      </c>
      <c r="B96" s="72" t="s">
        <v>169</v>
      </c>
      <c r="C96" s="73">
        <v>10.245050000000001</v>
      </c>
      <c r="D96" s="74">
        <v>15.919866666666792</v>
      </c>
      <c r="E96" s="73">
        <v>1107.3906079359356</v>
      </c>
      <c r="F96" s="75">
        <v>1.0102021939179414E-2</v>
      </c>
      <c r="G96" s="76">
        <v>2.4404052856034343E-2</v>
      </c>
      <c r="H96" s="72" t="s">
        <v>23</v>
      </c>
      <c r="I96" s="72" t="s">
        <v>170</v>
      </c>
    </row>
    <row r="97" spans="1:9" ht="12.75" customHeight="1" x14ac:dyDescent="0.2">
      <c r="A97" s="71">
        <v>64</v>
      </c>
      <c r="B97" s="72" t="s">
        <v>171</v>
      </c>
      <c r="C97" s="73">
        <v>10.342316666666667</v>
      </c>
      <c r="D97" s="74">
        <v>12.25339999999963</v>
      </c>
      <c r="E97" s="73">
        <v>616.73294509151492</v>
      </c>
      <c r="F97" s="75">
        <v>7.775449268599589E-3</v>
      </c>
      <c r="G97" s="76">
        <v>1.3591214592404933E-2</v>
      </c>
      <c r="H97" s="72" t="s">
        <v>23</v>
      </c>
      <c r="I97" s="72" t="s">
        <v>172</v>
      </c>
    </row>
    <row r="98" spans="1:9" ht="12.75" customHeight="1" x14ac:dyDescent="0.2">
      <c r="A98" s="71">
        <v>65</v>
      </c>
      <c r="B98" s="72" t="s">
        <v>169</v>
      </c>
      <c r="C98" s="73">
        <v>10.433866666666667</v>
      </c>
      <c r="D98" s="74">
        <v>97.570099999998405</v>
      </c>
      <c r="E98" s="73">
        <v>3224.2307020099047</v>
      </c>
      <c r="F98" s="75">
        <v>6.1913539318246308E-2</v>
      </c>
      <c r="G98" s="76">
        <v>7.1053787081107753E-2</v>
      </c>
      <c r="H98" s="72" t="s">
        <v>23</v>
      </c>
      <c r="I98" s="72" t="s">
        <v>170</v>
      </c>
    </row>
    <row r="99" spans="1:9" ht="12.75" customHeight="1" x14ac:dyDescent="0.2">
      <c r="A99" s="71">
        <v>66</v>
      </c>
      <c r="B99" s="72" t="s">
        <v>173</v>
      </c>
      <c r="C99" s="73">
        <v>10.531133333333333</v>
      </c>
      <c r="D99" s="74">
        <v>85.690028458419022</v>
      </c>
      <c r="E99" s="73">
        <v>2579.9187799862971</v>
      </c>
      <c r="F99" s="75">
        <v>5.4374987277270991E-2</v>
      </c>
      <c r="G99" s="76">
        <v>5.6854802469756549E-2</v>
      </c>
      <c r="H99" s="72" t="s">
        <v>23</v>
      </c>
      <c r="I99" s="72" t="s">
        <v>174</v>
      </c>
    </row>
    <row r="100" spans="1:9" ht="12.75" customHeight="1" x14ac:dyDescent="0.2">
      <c r="A100" s="71">
        <v>67</v>
      </c>
      <c r="B100" s="72" t="s">
        <v>175</v>
      </c>
      <c r="C100" s="73">
        <v>10.571200000000001</v>
      </c>
      <c r="D100" s="74">
        <v>47.613838208246705</v>
      </c>
      <c r="E100" s="73">
        <v>2071.4054146675758</v>
      </c>
      <c r="F100" s="75">
        <v>3.0213572026665435E-2</v>
      </c>
      <c r="G100" s="76">
        <v>4.5648470253910355E-2</v>
      </c>
      <c r="H100" s="72" t="s">
        <v>23</v>
      </c>
      <c r="I100" s="72" t="s">
        <v>176</v>
      </c>
    </row>
    <row r="101" spans="1:9" ht="12.75" customHeight="1" x14ac:dyDescent="0.2">
      <c r="A101" s="71">
        <v>68</v>
      </c>
      <c r="B101" s="72" t="s">
        <v>177</v>
      </c>
      <c r="C101" s="73">
        <v>10.657016666666667</v>
      </c>
      <c r="D101" s="74">
        <v>31.91271343450893</v>
      </c>
      <c r="E101" s="73">
        <v>1093.1170001361115</v>
      </c>
      <c r="F101" s="75">
        <v>2.0250353724957013E-2</v>
      </c>
      <c r="G101" s="76">
        <v>2.4089499096324869E-2</v>
      </c>
      <c r="H101" s="72" t="s">
        <v>178</v>
      </c>
      <c r="I101" s="72" t="s">
        <v>179</v>
      </c>
    </row>
    <row r="102" spans="1:9" ht="12.75" customHeight="1" x14ac:dyDescent="0.2">
      <c r="A102" s="71">
        <v>69</v>
      </c>
      <c r="B102" s="72" t="s">
        <v>180</v>
      </c>
      <c r="C102" s="73">
        <v>10.748583333333334</v>
      </c>
      <c r="D102" s="74">
        <v>2446.2023888085823</v>
      </c>
      <c r="E102" s="73">
        <v>92753.916319586235</v>
      </c>
      <c r="F102" s="75">
        <v>1.5522485656967728</v>
      </c>
      <c r="G102" s="76">
        <v>2.0440587632275826</v>
      </c>
      <c r="H102" s="72" t="s">
        <v>181</v>
      </c>
      <c r="I102" s="72" t="s">
        <v>182</v>
      </c>
    </row>
    <row r="103" spans="1:9" ht="12.75" customHeight="1" x14ac:dyDescent="0.2">
      <c r="A103" s="71">
        <v>70</v>
      </c>
      <c r="B103" s="72" t="s">
        <v>183</v>
      </c>
      <c r="C103" s="73">
        <v>10.811516666666668</v>
      </c>
      <c r="D103" s="74">
        <v>240.68794568849839</v>
      </c>
      <c r="E103" s="73">
        <v>7768.3513815162687</v>
      </c>
      <c r="F103" s="75">
        <v>0.15272960249925974</v>
      </c>
      <c r="G103" s="76">
        <v>0.17119456889030971</v>
      </c>
      <c r="H103" s="72" t="s">
        <v>184</v>
      </c>
      <c r="I103" s="72" t="s">
        <v>185</v>
      </c>
    </row>
    <row r="104" spans="1:9" ht="12.75" customHeight="1" x14ac:dyDescent="0.2">
      <c r="A104" s="71">
        <v>71</v>
      </c>
      <c r="B104" s="72" t="s">
        <v>186</v>
      </c>
      <c r="C104" s="73">
        <v>10.885899999999999</v>
      </c>
      <c r="D104" s="74">
        <v>43.216728547932689</v>
      </c>
      <c r="E104" s="73">
        <v>1708.522907309105</v>
      </c>
      <c r="F104" s="75">
        <v>2.7423366606762239E-2</v>
      </c>
      <c r="G104" s="76">
        <v>3.7651469171688136E-2</v>
      </c>
      <c r="H104" s="72" t="s">
        <v>187</v>
      </c>
      <c r="I104" s="72" t="s">
        <v>188</v>
      </c>
    </row>
    <row r="105" spans="1:9" ht="12.75" customHeight="1" x14ac:dyDescent="0.2">
      <c r="A105" s="71">
        <v>72</v>
      </c>
      <c r="B105" s="72" t="s">
        <v>189</v>
      </c>
      <c r="C105" s="73">
        <v>10.914516666666668</v>
      </c>
      <c r="D105" s="74">
        <v>90.717144388866572</v>
      </c>
      <c r="E105" s="73">
        <v>2304.8409691030383</v>
      </c>
      <c r="F105" s="75">
        <v>5.7564965967639777E-2</v>
      </c>
      <c r="G105" s="76">
        <v>5.0792792020860254E-2</v>
      </c>
      <c r="H105" s="72" t="s">
        <v>23</v>
      </c>
      <c r="I105" s="72" t="s">
        <v>190</v>
      </c>
    </row>
    <row r="106" spans="1:9" ht="12.75" customHeight="1" x14ac:dyDescent="0.2">
      <c r="A106" s="71">
        <v>73</v>
      </c>
      <c r="B106" s="72" t="s">
        <v>191</v>
      </c>
      <c r="C106" s="73">
        <v>11.051833333333333</v>
      </c>
      <c r="D106" s="74">
        <v>15777.019052554482</v>
      </c>
      <c r="E106" s="73">
        <v>563045.44755682594</v>
      </c>
      <c r="F106" s="75">
        <v>10.011377352642553</v>
      </c>
      <c r="G106" s="76">
        <v>12.408079646022436</v>
      </c>
      <c r="H106" s="72" t="s">
        <v>192</v>
      </c>
      <c r="I106" s="72" t="s">
        <v>182</v>
      </c>
    </row>
    <row r="107" spans="1:9" ht="12.75" customHeight="1" x14ac:dyDescent="0.2">
      <c r="A107" s="71">
        <v>74</v>
      </c>
      <c r="B107" s="72" t="s">
        <v>193</v>
      </c>
      <c r="C107" s="73">
        <v>11.114783333333333</v>
      </c>
      <c r="D107" s="74">
        <v>513.20684935959821</v>
      </c>
      <c r="E107" s="73">
        <v>11783.928814482102</v>
      </c>
      <c r="F107" s="75">
        <v>0.32565768043918492</v>
      </c>
      <c r="G107" s="76">
        <v>0.25968761120015216</v>
      </c>
      <c r="H107" s="72" t="s">
        <v>194</v>
      </c>
      <c r="I107" s="72" t="s">
        <v>195</v>
      </c>
    </row>
    <row r="108" spans="1:9" ht="12.75" customHeight="1" x14ac:dyDescent="0.2">
      <c r="A108" s="71">
        <v>75</v>
      </c>
      <c r="B108" s="72" t="s">
        <v>196</v>
      </c>
      <c r="C108" s="73">
        <v>11.177716666666667</v>
      </c>
      <c r="D108" s="74">
        <v>39.234553746426229</v>
      </c>
      <c r="E108" s="73">
        <v>1717.3638764121431</v>
      </c>
      <c r="F108" s="75">
        <v>2.4896459940219884E-2</v>
      </c>
      <c r="G108" s="76">
        <v>3.7846301488074906E-2</v>
      </c>
      <c r="H108" s="72" t="s">
        <v>23</v>
      </c>
      <c r="I108" s="72" t="s">
        <v>197</v>
      </c>
    </row>
    <row r="109" spans="1:9" ht="12.75" customHeight="1" x14ac:dyDescent="0.2">
      <c r="A109" s="71">
        <v>76</v>
      </c>
      <c r="B109" s="72" t="s">
        <v>198</v>
      </c>
      <c r="C109" s="73">
        <v>11.2235</v>
      </c>
      <c r="D109" s="74">
        <v>11.705523471031412</v>
      </c>
      <c r="E109" s="73">
        <v>430.26353613719903</v>
      </c>
      <c r="F109" s="75">
        <v>7.4277917893326977E-3</v>
      </c>
      <c r="G109" s="76">
        <v>9.4819063866612655E-3</v>
      </c>
      <c r="H109" s="72" t="s">
        <v>23</v>
      </c>
      <c r="I109" s="72" t="s">
        <v>199</v>
      </c>
    </row>
    <row r="110" spans="1:9" ht="12.75" customHeight="1" x14ac:dyDescent="0.2">
      <c r="A110" s="71">
        <v>77</v>
      </c>
      <c r="B110" s="72" t="s">
        <v>200</v>
      </c>
      <c r="C110" s="73">
        <v>11.275</v>
      </c>
      <c r="D110" s="74">
        <v>19.782749999999467</v>
      </c>
      <c r="E110" s="73">
        <v>1441.5641025641014</v>
      </c>
      <c r="F110" s="75">
        <v>1.2553231675974753E-2</v>
      </c>
      <c r="G110" s="76">
        <v>3.1768380824457258E-2</v>
      </c>
      <c r="H110" s="72" t="s">
        <v>23</v>
      </c>
      <c r="I110" s="72" t="s">
        <v>201</v>
      </c>
    </row>
    <row r="111" spans="1:9" ht="12.75" customHeight="1" x14ac:dyDescent="0.2">
      <c r="A111" s="71">
        <v>78</v>
      </c>
      <c r="B111" s="72" t="s">
        <v>202</v>
      </c>
      <c r="C111" s="73">
        <v>11.337933333333334</v>
      </c>
      <c r="D111" s="74">
        <v>242.21267499999794</v>
      </c>
      <c r="E111" s="73">
        <v>8993.8570468295056</v>
      </c>
      <c r="F111" s="75">
        <v>0.15369712624041826</v>
      </c>
      <c r="G111" s="76">
        <v>0.19820157510595562</v>
      </c>
      <c r="H111" s="72" t="s">
        <v>203</v>
      </c>
      <c r="I111" s="72" t="s">
        <v>204</v>
      </c>
    </row>
    <row r="112" spans="1:9" ht="12.75" customHeight="1" x14ac:dyDescent="0.2">
      <c r="A112" s="71">
        <v>80</v>
      </c>
      <c r="B112" s="72" t="s">
        <v>205</v>
      </c>
      <c r="C112" s="73">
        <v>11.698416666666667</v>
      </c>
      <c r="D112" s="74">
        <v>2199.8470434178944</v>
      </c>
      <c r="E112" s="73">
        <v>47950.017184883138</v>
      </c>
      <c r="F112" s="75">
        <v>1.3959226896024903</v>
      </c>
      <c r="G112" s="76">
        <v>1.0566955737585053</v>
      </c>
      <c r="H112" s="72" t="s">
        <v>206</v>
      </c>
      <c r="I112" s="72" t="s">
        <v>207</v>
      </c>
    </row>
    <row r="113" spans="1:9" ht="12.75" customHeight="1" x14ac:dyDescent="0.2">
      <c r="A113" s="71">
        <v>86</v>
      </c>
      <c r="B113" s="72" t="s">
        <v>208</v>
      </c>
      <c r="C113" s="73">
        <v>11.984516666666666</v>
      </c>
      <c r="D113" s="74">
        <v>21959.632815418325</v>
      </c>
      <c r="E113" s="73">
        <v>670109.13784315158</v>
      </c>
      <c r="F113" s="75">
        <v>13.934582312938867</v>
      </c>
      <c r="G113" s="76">
        <v>14.767489178652982</v>
      </c>
      <c r="H113" s="72" t="s">
        <v>209</v>
      </c>
      <c r="I113" s="72" t="s">
        <v>210</v>
      </c>
    </row>
    <row r="114" spans="1:9" ht="12.75" customHeight="1" x14ac:dyDescent="0.2">
      <c r="A114" s="71">
        <v>87</v>
      </c>
      <c r="B114" s="72" t="s">
        <v>211</v>
      </c>
      <c r="C114" s="73">
        <v>12.087516666666668</v>
      </c>
      <c r="D114" s="74">
        <v>90.421391666671184</v>
      </c>
      <c r="E114" s="73">
        <v>3238.6028394613113</v>
      </c>
      <c r="F114" s="75">
        <v>5.7377294767199043E-2</v>
      </c>
      <c r="G114" s="76">
        <v>7.137051218199339E-2</v>
      </c>
      <c r="H114" s="72" t="s">
        <v>212</v>
      </c>
      <c r="I114" s="72" t="s">
        <v>213</v>
      </c>
    </row>
    <row r="115" spans="1:9" ht="12.75" customHeight="1" x14ac:dyDescent="0.2">
      <c r="A115" s="71">
        <v>88</v>
      </c>
      <c r="B115" s="72" t="s">
        <v>214</v>
      </c>
      <c r="C115" s="73">
        <v>12.150466666666667</v>
      </c>
      <c r="D115" s="74">
        <v>472.98877500001385</v>
      </c>
      <c r="E115" s="73">
        <v>15431.277346278308</v>
      </c>
      <c r="F115" s="75">
        <v>0.30013712313560192</v>
      </c>
      <c r="G115" s="76">
        <v>0.3400658316008468</v>
      </c>
      <c r="H115" s="72" t="s">
        <v>215</v>
      </c>
      <c r="I115" s="72" t="s">
        <v>216</v>
      </c>
    </row>
    <row r="116" spans="1:9" ht="12.75" customHeight="1" x14ac:dyDescent="0.2">
      <c r="A116" s="71">
        <v>89</v>
      </c>
      <c r="B116" s="72" t="s">
        <v>217</v>
      </c>
      <c r="C116" s="73">
        <v>12.184783333333334</v>
      </c>
      <c r="D116" s="74">
        <v>425.69011666665619</v>
      </c>
      <c r="E116" s="73">
        <v>16090.111974110041</v>
      </c>
      <c r="F116" s="75">
        <v>0.2701235498952067</v>
      </c>
      <c r="G116" s="76">
        <v>0.35458485945404444</v>
      </c>
      <c r="H116" s="72" t="s">
        <v>218</v>
      </c>
      <c r="I116" s="72" t="s">
        <v>219</v>
      </c>
    </row>
    <row r="117" spans="1:9" ht="12.75" customHeight="1" x14ac:dyDescent="0.2">
      <c r="A117" s="71">
        <v>90</v>
      </c>
      <c r="B117" s="72" t="s">
        <v>211</v>
      </c>
      <c r="C117" s="73">
        <v>12.299233333333333</v>
      </c>
      <c r="D117" s="74">
        <v>26.544224999999273</v>
      </c>
      <c r="E117" s="73">
        <v>1426.3453132588638</v>
      </c>
      <c r="F117" s="75">
        <v>1.6843755599408615E-2</v>
      </c>
      <c r="G117" s="76">
        <v>3.1432997685076909E-2</v>
      </c>
      <c r="H117" s="72" t="s">
        <v>212</v>
      </c>
      <c r="I117" s="72" t="s">
        <v>213</v>
      </c>
    </row>
    <row r="118" spans="1:9" ht="12.75" customHeight="1" x14ac:dyDescent="0.2">
      <c r="A118" s="71">
        <v>91</v>
      </c>
      <c r="B118" s="72" t="s">
        <v>220</v>
      </c>
      <c r="C118" s="73">
        <v>12.362166666666667</v>
      </c>
      <c r="D118" s="74">
        <v>30.116641666666382</v>
      </c>
      <c r="E118" s="73">
        <v>1926.2674757281529</v>
      </c>
      <c r="F118" s="75">
        <v>1.9110648425723811E-2</v>
      </c>
      <c r="G118" s="76">
        <v>4.2450001793088381E-2</v>
      </c>
      <c r="H118" s="72" t="s">
        <v>23</v>
      </c>
      <c r="I118" s="72" t="s">
        <v>170</v>
      </c>
    </row>
    <row r="119" spans="1:9" ht="12.75" customHeight="1" x14ac:dyDescent="0.2">
      <c r="A119" s="71">
        <v>92</v>
      </c>
      <c r="B119" s="72" t="s">
        <v>221</v>
      </c>
      <c r="C119" s="73">
        <v>12.402233333333333</v>
      </c>
      <c r="D119" s="74">
        <v>23.560574874343061</v>
      </c>
      <c r="E119" s="73">
        <v>1371.7179575051391</v>
      </c>
      <c r="F119" s="75">
        <v>1.4950467190698268E-2</v>
      </c>
      <c r="G119" s="76">
        <v>3.0229150670621815E-2</v>
      </c>
      <c r="H119" s="72" t="s">
        <v>23</v>
      </c>
      <c r="I119" s="72" t="s">
        <v>222</v>
      </c>
    </row>
    <row r="120" spans="1:9" ht="12.75" customHeight="1" x14ac:dyDescent="0.2">
      <c r="A120" s="71">
        <v>93</v>
      </c>
      <c r="B120" s="72" t="s">
        <v>223</v>
      </c>
      <c r="C120" s="73">
        <v>12.442283333333334</v>
      </c>
      <c r="D120" s="74">
        <v>149.86929179232138</v>
      </c>
      <c r="E120" s="73">
        <v>5645.3589787525743</v>
      </c>
      <c r="F120" s="75">
        <v>9.5100223223936131E-2</v>
      </c>
      <c r="G120" s="76">
        <v>0.12440925353841911</v>
      </c>
      <c r="H120" s="72" t="s">
        <v>224</v>
      </c>
      <c r="I120" s="72" t="s">
        <v>225</v>
      </c>
    </row>
    <row r="121" spans="1:9" ht="12.75" customHeight="1" x14ac:dyDescent="0.2">
      <c r="A121" s="71">
        <v>94</v>
      </c>
      <c r="B121" s="72" t="s">
        <v>226</v>
      </c>
      <c r="C121" s="73">
        <v>12.533833333333334</v>
      </c>
      <c r="D121" s="74">
        <v>231.50085833333071</v>
      </c>
      <c r="E121" s="73">
        <v>6999.3333333333358</v>
      </c>
      <c r="F121" s="75">
        <v>0.1468998955072166</v>
      </c>
      <c r="G121" s="76">
        <v>0.15424738064380583</v>
      </c>
      <c r="H121" s="72" t="s">
        <v>227</v>
      </c>
      <c r="I121" s="72" t="s">
        <v>195</v>
      </c>
    </row>
    <row r="122" spans="1:9" ht="12.75" customHeight="1" x14ac:dyDescent="0.2">
      <c r="A122" s="71">
        <v>97</v>
      </c>
      <c r="B122" s="72" t="s">
        <v>228</v>
      </c>
      <c r="C122" s="73">
        <v>12.711216666666667</v>
      </c>
      <c r="D122" s="74">
        <v>226.86680511846004</v>
      </c>
      <c r="E122" s="73">
        <v>4789.7001741332915</v>
      </c>
      <c r="F122" s="75">
        <v>0.14395933650479942</v>
      </c>
      <c r="G122" s="76">
        <v>0.10555272491607399</v>
      </c>
      <c r="H122" s="72" t="s">
        <v>229</v>
      </c>
      <c r="I122" s="72" t="s">
        <v>230</v>
      </c>
    </row>
    <row r="123" spans="1:9" ht="12.75" customHeight="1" x14ac:dyDescent="0.2">
      <c r="A123" s="71">
        <v>98</v>
      </c>
      <c r="B123" s="72" t="s">
        <v>231</v>
      </c>
      <c r="C123" s="73">
        <v>12.779883333333334</v>
      </c>
      <c r="D123" s="74">
        <v>417.6073955854547</v>
      </c>
      <c r="E123" s="73">
        <v>10857.400348266583</v>
      </c>
      <c r="F123" s="75">
        <v>0.26499462341609686</v>
      </c>
      <c r="G123" s="76">
        <v>0.23926929674082265</v>
      </c>
      <c r="H123" s="72" t="s">
        <v>232</v>
      </c>
      <c r="I123" s="72" t="s">
        <v>233</v>
      </c>
    </row>
    <row r="124" spans="1:9" ht="12.75" customHeight="1" x14ac:dyDescent="0.2">
      <c r="A124" s="71">
        <v>99</v>
      </c>
      <c r="B124" s="72" t="s">
        <v>234</v>
      </c>
      <c r="C124" s="73">
        <v>12.854266666666668</v>
      </c>
      <c r="D124" s="74">
        <v>6.1847916666665128</v>
      </c>
      <c r="E124" s="73">
        <v>504.02038439138096</v>
      </c>
      <c r="F124" s="75">
        <v>3.9245869588052642E-3</v>
      </c>
      <c r="G124" s="76">
        <v>1.110731842320049E-2</v>
      </c>
      <c r="H124" s="72" t="s">
        <v>235</v>
      </c>
      <c r="I124" s="72" t="s">
        <v>236</v>
      </c>
    </row>
    <row r="125" spans="1:9" ht="12.75" customHeight="1" x14ac:dyDescent="0.2">
      <c r="A125" s="71">
        <v>100</v>
      </c>
      <c r="B125" s="72" t="s">
        <v>237</v>
      </c>
      <c r="C125" s="73">
        <v>12.894316666666667</v>
      </c>
      <c r="D125" s="74">
        <v>99.74741686559841</v>
      </c>
      <c r="E125" s="73">
        <v>4276.220104479974</v>
      </c>
      <c r="F125" s="75">
        <v>6.3295165383676286E-2</v>
      </c>
      <c r="G125" s="76">
        <v>9.4236939256941252E-2</v>
      </c>
      <c r="H125" s="72" t="s">
        <v>23</v>
      </c>
      <c r="I125" s="72" t="s">
        <v>238</v>
      </c>
    </row>
    <row r="126" spans="1:9" ht="12.75" customHeight="1" x14ac:dyDescent="0.2">
      <c r="A126" s="71">
        <v>101</v>
      </c>
      <c r="B126" s="72" t="s">
        <v>239</v>
      </c>
      <c r="C126" s="73">
        <v>12.940083333333334</v>
      </c>
      <c r="D126" s="74">
        <v>520.41456386760183</v>
      </c>
      <c r="E126" s="73">
        <v>14730.339686560075</v>
      </c>
      <c r="F126" s="75">
        <v>0.33023136761984767</v>
      </c>
      <c r="G126" s="76">
        <v>0.32461896075512769</v>
      </c>
      <c r="H126" s="72" t="s">
        <v>240</v>
      </c>
      <c r="I126" s="72" t="s">
        <v>241</v>
      </c>
    </row>
    <row r="127" spans="1:9" ht="12.75" customHeight="1" x14ac:dyDescent="0.2">
      <c r="A127" s="71">
        <v>102</v>
      </c>
      <c r="B127" s="72" t="s">
        <v>242</v>
      </c>
      <c r="C127" s="73">
        <v>13.025916666666667</v>
      </c>
      <c r="D127" s="74">
        <v>447.86659868133734</v>
      </c>
      <c r="E127" s="73">
        <v>7901.4649042266901</v>
      </c>
      <c r="F127" s="75">
        <v>0.28419573482846361</v>
      </c>
      <c r="G127" s="76">
        <v>0.17412805001322884</v>
      </c>
      <c r="H127" s="72" t="s">
        <v>243</v>
      </c>
      <c r="I127" s="72" t="s">
        <v>244</v>
      </c>
    </row>
    <row r="128" spans="1:9" ht="12.75" customHeight="1" x14ac:dyDescent="0.2">
      <c r="A128" s="71">
        <v>103</v>
      </c>
      <c r="B128" s="72" t="s">
        <v>245</v>
      </c>
      <c r="C128" s="73">
        <v>13.094583333333334</v>
      </c>
      <c r="D128" s="74">
        <v>152.62531304284954</v>
      </c>
      <c r="E128" s="73">
        <v>3234.1650783599812</v>
      </c>
      <c r="F128" s="75">
        <v>9.684906872124012E-2</v>
      </c>
      <c r="G128" s="76">
        <v>7.1272715292889213E-2</v>
      </c>
      <c r="H128" s="72" t="s">
        <v>246</v>
      </c>
      <c r="I128" s="72" t="s">
        <v>247</v>
      </c>
    </row>
    <row r="129" spans="1:9" ht="12.75" customHeight="1" x14ac:dyDescent="0.2">
      <c r="A129" s="71">
        <v>104</v>
      </c>
      <c r="B129" s="72" t="s">
        <v>248</v>
      </c>
      <c r="C129" s="73">
        <v>13.1518</v>
      </c>
      <c r="D129" s="74">
        <v>27.896356838689059</v>
      </c>
      <c r="E129" s="73">
        <v>1231.5749564666753</v>
      </c>
      <c r="F129" s="75">
        <v>1.7701756849362996E-2</v>
      </c>
      <c r="G129" s="76">
        <v>2.714075784857993E-2</v>
      </c>
      <c r="H129" s="72" t="s">
        <v>23</v>
      </c>
      <c r="I129" s="72" t="s">
        <v>249</v>
      </c>
    </row>
    <row r="130" spans="1:9" ht="12.75" customHeight="1" x14ac:dyDescent="0.2">
      <c r="A130" s="71">
        <v>105</v>
      </c>
      <c r="B130" s="72" t="s">
        <v>250</v>
      </c>
      <c r="C130" s="73">
        <v>13.186133333333334</v>
      </c>
      <c r="D130" s="74">
        <v>25.906306082065207</v>
      </c>
      <c r="E130" s="73">
        <v>1086.2984781184018</v>
      </c>
      <c r="F130" s="75">
        <v>1.6438961323217809E-2</v>
      </c>
      <c r="G130" s="76">
        <v>2.3939236334000767E-2</v>
      </c>
      <c r="H130" s="72" t="s">
        <v>23</v>
      </c>
      <c r="I130" s="72" t="s">
        <v>251</v>
      </c>
    </row>
    <row r="131" spans="1:9" ht="12.75" customHeight="1" x14ac:dyDescent="0.2">
      <c r="A131" s="71">
        <v>108</v>
      </c>
      <c r="B131" s="72" t="s">
        <v>252</v>
      </c>
      <c r="C131" s="73">
        <v>13.3063</v>
      </c>
      <c r="D131" s="74">
        <v>354.43125644493921</v>
      </c>
      <c r="E131" s="73">
        <v>7968.3878249472082</v>
      </c>
      <c r="F131" s="75">
        <v>0.22490592437149848</v>
      </c>
      <c r="G131" s="76">
        <v>0.17560285978932746</v>
      </c>
      <c r="H131" s="72" t="s">
        <v>253</v>
      </c>
      <c r="I131" s="72" t="s">
        <v>254</v>
      </c>
    </row>
    <row r="132" spans="1:9" ht="12.75" customHeight="1" x14ac:dyDescent="0.2">
      <c r="A132" s="71">
        <v>111</v>
      </c>
      <c r="B132" s="72" t="s">
        <v>255</v>
      </c>
      <c r="C132" s="73">
        <v>13.483683333333333</v>
      </c>
      <c r="D132" s="74">
        <v>76.915641666665749</v>
      </c>
      <c r="E132" s="73">
        <v>2789.7429176595188</v>
      </c>
      <c r="F132" s="75">
        <v>4.8807161256546133E-2</v>
      </c>
      <c r="G132" s="76">
        <v>6.1478789082568215E-2</v>
      </c>
      <c r="H132" s="72" t="s">
        <v>256</v>
      </c>
      <c r="I132" s="72" t="s">
        <v>257</v>
      </c>
    </row>
    <row r="133" spans="1:9" ht="12.75" customHeight="1" x14ac:dyDescent="0.2">
      <c r="A133" s="71">
        <v>113</v>
      </c>
      <c r="B133" s="72" t="s">
        <v>258</v>
      </c>
      <c r="C133" s="73">
        <v>13.5924</v>
      </c>
      <c r="D133" s="74">
        <v>910.94811974261233</v>
      </c>
      <c r="E133" s="73">
        <v>30093.372159187129</v>
      </c>
      <c r="F133" s="75">
        <v>0.5780461660751367</v>
      </c>
      <c r="G133" s="76">
        <v>0.66318085012294181</v>
      </c>
      <c r="H133" s="72" t="s">
        <v>259</v>
      </c>
      <c r="I133" s="72" t="s">
        <v>260</v>
      </c>
    </row>
    <row r="134" spans="1:9" ht="12.75" customHeight="1" x14ac:dyDescent="0.2">
      <c r="A134" s="71">
        <v>114</v>
      </c>
      <c r="B134" s="72" t="s">
        <v>261</v>
      </c>
      <c r="C134" s="73">
        <v>13.626733333333334</v>
      </c>
      <c r="D134" s="74">
        <v>158.14725070279025</v>
      </c>
      <c r="E134" s="73">
        <v>6312.6976460626593</v>
      </c>
      <c r="F134" s="75">
        <v>0.1003530387327667</v>
      </c>
      <c r="G134" s="76">
        <v>0.13911568864198737</v>
      </c>
      <c r="H134" s="72" t="s">
        <v>262</v>
      </c>
      <c r="I134" s="72" t="s">
        <v>263</v>
      </c>
    </row>
    <row r="135" spans="1:9" ht="12.75" customHeight="1" x14ac:dyDescent="0.2">
      <c r="A135" s="71">
        <v>116</v>
      </c>
      <c r="B135" s="72" t="s">
        <v>264</v>
      </c>
      <c r="C135" s="73">
        <v>13.798383333333334</v>
      </c>
      <c r="D135" s="74">
        <v>1229.7398404603352</v>
      </c>
      <c r="E135" s="73">
        <v>26763.325893310754</v>
      </c>
      <c r="F135" s="75">
        <v>0.7803368651211402</v>
      </c>
      <c r="G135" s="76">
        <v>0.58979515901891522</v>
      </c>
      <c r="H135" s="72" t="s">
        <v>265</v>
      </c>
      <c r="I135" s="72" t="s">
        <v>266</v>
      </c>
    </row>
    <row r="136" spans="1:9" ht="12.75" customHeight="1" x14ac:dyDescent="0.2">
      <c r="A136" s="71">
        <v>117</v>
      </c>
      <c r="B136" s="72" t="s">
        <v>267</v>
      </c>
      <c r="C136" s="73">
        <v>13.861333333333334</v>
      </c>
      <c r="D136" s="74">
        <v>56.502558333336026</v>
      </c>
      <c r="E136" s="73">
        <v>1854.3265372169053</v>
      </c>
      <c r="F136" s="75">
        <v>3.5853948770704989E-2</v>
      </c>
      <c r="G136" s="76">
        <v>4.0864607756549133E-2</v>
      </c>
      <c r="H136" s="72" t="s">
        <v>23</v>
      </c>
      <c r="I136" s="72" t="s">
        <v>268</v>
      </c>
    </row>
    <row r="137" spans="1:9" ht="12.75" customHeight="1" x14ac:dyDescent="0.2">
      <c r="A137" s="71">
        <v>120</v>
      </c>
      <c r="B137" s="72" t="s">
        <v>269</v>
      </c>
      <c r="C137" s="73">
        <v>14.1646</v>
      </c>
      <c r="D137" s="74">
        <v>346.27492968577531</v>
      </c>
      <c r="E137" s="73">
        <v>7894.481265722231</v>
      </c>
      <c r="F137" s="75">
        <v>0.21973029108326808</v>
      </c>
      <c r="G137" s="76">
        <v>0.17397414850641735</v>
      </c>
      <c r="H137" s="72" t="s">
        <v>270</v>
      </c>
      <c r="I137" s="72" t="s">
        <v>241</v>
      </c>
    </row>
    <row r="138" spans="1:9" ht="12.75" customHeight="1" x14ac:dyDescent="0.2">
      <c r="A138" s="71">
        <v>121</v>
      </c>
      <c r="B138" s="72" t="s">
        <v>271</v>
      </c>
      <c r="C138" s="73">
        <v>14.261866666666666</v>
      </c>
      <c r="D138" s="74">
        <v>21.865998220974632</v>
      </c>
      <c r="E138" s="73">
        <v>965.44382022472291</v>
      </c>
      <c r="F138" s="75">
        <v>1.3875166066110818E-2</v>
      </c>
      <c r="G138" s="76">
        <v>2.1275909195410916E-2</v>
      </c>
      <c r="H138" s="72" t="s">
        <v>23</v>
      </c>
      <c r="I138" s="72" t="s">
        <v>272</v>
      </c>
    </row>
    <row r="139" spans="1:9" ht="12.75" customHeight="1" x14ac:dyDescent="0.2">
      <c r="A139" s="71">
        <v>123</v>
      </c>
      <c r="B139" s="72" t="s">
        <v>271</v>
      </c>
      <c r="C139" s="73">
        <v>14.376300000000001</v>
      </c>
      <c r="D139" s="74">
        <v>33.581441666667757</v>
      </c>
      <c r="E139" s="73">
        <v>1118.8077669902941</v>
      </c>
      <c r="F139" s="75">
        <v>2.1309252619323576E-2</v>
      </c>
      <c r="G139" s="76">
        <v>2.4655657801056989E-2</v>
      </c>
      <c r="H139" s="72" t="s">
        <v>23</v>
      </c>
      <c r="I139" s="72" t="s">
        <v>272</v>
      </c>
    </row>
    <row r="140" spans="1:9" ht="12.75" customHeight="1" x14ac:dyDescent="0.2">
      <c r="A140" s="71">
        <v>125</v>
      </c>
      <c r="B140" s="72" t="s">
        <v>273</v>
      </c>
      <c r="C140" s="73">
        <v>14.502183333333333</v>
      </c>
      <c r="D140" s="74">
        <v>2183.468549999995</v>
      </c>
      <c r="E140" s="73">
        <v>70747.255011708257</v>
      </c>
      <c r="F140" s="75">
        <v>1.3855296440259994</v>
      </c>
      <c r="G140" s="76">
        <v>1.5590883093573711</v>
      </c>
      <c r="H140" s="72" t="s">
        <v>274</v>
      </c>
      <c r="I140" s="72" t="s">
        <v>230</v>
      </c>
    </row>
    <row r="141" spans="1:9" ht="12.75" customHeight="1" x14ac:dyDescent="0.2">
      <c r="A141" s="71">
        <v>128</v>
      </c>
      <c r="B141" s="72" t="s">
        <v>275</v>
      </c>
      <c r="C141" s="73">
        <v>14.794016666666668</v>
      </c>
      <c r="D141" s="74">
        <v>172.30214915176603</v>
      </c>
      <c r="E141" s="73">
        <v>7167.4264099037155</v>
      </c>
      <c r="F141" s="75">
        <v>0.10933509226829101</v>
      </c>
      <c r="G141" s="76">
        <v>0.15795172154751186</v>
      </c>
      <c r="H141" s="72" t="s">
        <v>23</v>
      </c>
      <c r="I141" s="72" t="s">
        <v>276</v>
      </c>
    </row>
    <row r="142" spans="1:9" ht="12.75" customHeight="1" x14ac:dyDescent="0.2">
      <c r="A142" s="71">
        <v>130</v>
      </c>
      <c r="B142" s="72" t="s">
        <v>277</v>
      </c>
      <c r="C142" s="73">
        <v>14.897</v>
      </c>
      <c r="D142" s="74">
        <v>115.13189704263847</v>
      </c>
      <c r="E142" s="73">
        <v>4189.9160935350756</v>
      </c>
      <c r="F142" s="75">
        <v>7.3057455453400172E-2</v>
      </c>
      <c r="G142" s="76">
        <v>9.2335019889291242E-2</v>
      </c>
      <c r="H142" s="72" t="s">
        <v>23</v>
      </c>
      <c r="I142" s="72" t="s">
        <v>278</v>
      </c>
    </row>
    <row r="143" spans="1:9" ht="12.75" customHeight="1" x14ac:dyDescent="0.2">
      <c r="A143" s="71">
        <v>131</v>
      </c>
      <c r="B143" s="72" t="s">
        <v>279</v>
      </c>
      <c r="C143" s="73">
        <v>14.931333333333333</v>
      </c>
      <c r="D143" s="74">
        <v>99.096017514902229</v>
      </c>
      <c r="E143" s="73">
        <v>3650.4195323246208</v>
      </c>
      <c r="F143" s="75">
        <v>6.2881817039140323E-2</v>
      </c>
      <c r="G143" s="76">
        <v>8.04458973871882E-2</v>
      </c>
      <c r="H143" s="72" t="s">
        <v>280</v>
      </c>
      <c r="I143" s="72" t="s">
        <v>281</v>
      </c>
    </row>
    <row r="144" spans="1:9" ht="12.75" customHeight="1" x14ac:dyDescent="0.2">
      <c r="A144" s="71">
        <v>136</v>
      </c>
      <c r="B144" s="72" t="s">
        <v>282</v>
      </c>
      <c r="C144" s="73">
        <v>15.331883333333334</v>
      </c>
      <c r="D144" s="74">
        <v>31.832421589952432</v>
      </c>
      <c r="E144" s="73">
        <v>1081.146436201208</v>
      </c>
      <c r="F144" s="75">
        <v>2.0199404179195725E-2</v>
      </c>
      <c r="G144" s="76">
        <v>2.3825698525062642E-2</v>
      </c>
      <c r="H144" s="72" t="s">
        <v>23</v>
      </c>
      <c r="I144" s="72" t="s">
        <v>283</v>
      </c>
    </row>
    <row r="145" spans="1:9" ht="12.75" customHeight="1" x14ac:dyDescent="0.2">
      <c r="A145" s="71">
        <v>141</v>
      </c>
      <c r="B145" s="72" t="s">
        <v>284</v>
      </c>
      <c r="C145" s="73">
        <v>15.595083333333333</v>
      </c>
      <c r="D145" s="74">
        <v>142.16028731018909</v>
      </c>
      <c r="E145" s="73">
        <v>5411.2131240391645</v>
      </c>
      <c r="F145" s="75">
        <v>9.0208440268819329E-2</v>
      </c>
      <c r="G145" s="76">
        <v>0.1192492785724964</v>
      </c>
      <c r="H145" s="72" t="s">
        <v>285</v>
      </c>
      <c r="I145" s="72" t="s">
        <v>286</v>
      </c>
    </row>
    <row r="146" spans="1:9" ht="12.75" customHeight="1" x14ac:dyDescent="0.2">
      <c r="A146" s="71">
        <v>144</v>
      </c>
      <c r="B146" s="72" t="s">
        <v>287</v>
      </c>
      <c r="C146" s="73">
        <v>15.772466666666666</v>
      </c>
      <c r="D146" s="74">
        <v>9521.449075718836</v>
      </c>
      <c r="E146" s="73">
        <v>329094.36220990325</v>
      </c>
      <c r="F146" s="75">
        <v>6.041877703478912</v>
      </c>
      <c r="G146" s="76">
        <v>7.2523968981124058</v>
      </c>
      <c r="H146" s="72" t="s">
        <v>288</v>
      </c>
      <c r="I146" s="72" t="s">
        <v>289</v>
      </c>
    </row>
    <row r="147" spans="1:9" ht="12.75" customHeight="1" x14ac:dyDescent="0.2">
      <c r="A147" s="71">
        <v>147</v>
      </c>
      <c r="B147" s="72" t="s">
        <v>290</v>
      </c>
      <c r="C147" s="73">
        <v>16.007066666666667</v>
      </c>
      <c r="D147" s="74">
        <v>1617.3028097257384</v>
      </c>
      <c r="E147" s="73">
        <v>35553.699999999997</v>
      </c>
      <c r="F147" s="75">
        <v>1.0262666646797163</v>
      </c>
      <c r="G147" s="76">
        <v>0.78351249126521705</v>
      </c>
      <c r="H147" s="72" t="s">
        <v>291</v>
      </c>
      <c r="I147" s="72" t="s">
        <v>292</v>
      </c>
    </row>
    <row r="148" spans="1:9" ht="12.75" customHeight="1" x14ac:dyDescent="0.2">
      <c r="A148" s="71">
        <v>148</v>
      </c>
      <c r="B148" s="72" t="s">
        <v>282</v>
      </c>
      <c r="C148" s="73">
        <v>16.087183333333332</v>
      </c>
      <c r="D148" s="74">
        <v>70.423706940939923</v>
      </c>
      <c r="E148" s="73">
        <v>2244.601262135915</v>
      </c>
      <c r="F148" s="75">
        <v>4.4687675308569028E-2</v>
      </c>
      <c r="G148" s="76">
        <v>4.9465263159478801E-2</v>
      </c>
      <c r="H148" s="72" t="s">
        <v>23</v>
      </c>
      <c r="I148" s="72" t="s">
        <v>283</v>
      </c>
    </row>
    <row r="149" spans="1:9" ht="12.75" customHeight="1" x14ac:dyDescent="0.2">
      <c r="A149" s="71">
        <v>149</v>
      </c>
      <c r="B149" s="72" t="s">
        <v>293</v>
      </c>
      <c r="C149" s="73">
        <v>16.190166666666666</v>
      </c>
      <c r="D149" s="74">
        <v>59.905058333332505</v>
      </c>
      <c r="E149" s="73">
        <v>4649.6196854979662</v>
      </c>
      <c r="F149" s="75">
        <v>3.8013020223231109E-2</v>
      </c>
      <c r="G149" s="76">
        <v>0.10246570970729649</v>
      </c>
      <c r="H149" s="72" t="s">
        <v>294</v>
      </c>
      <c r="I149" s="72" t="s">
        <v>295</v>
      </c>
    </row>
    <row r="150" spans="1:9" ht="12.75" customHeight="1" x14ac:dyDescent="0.2">
      <c r="A150" s="71">
        <v>151</v>
      </c>
      <c r="B150" s="72" t="s">
        <v>296</v>
      </c>
      <c r="C150" s="73">
        <v>16.276</v>
      </c>
      <c r="D150" s="74">
        <v>481.38195574109176</v>
      </c>
      <c r="E150" s="73">
        <v>16891.399999999983</v>
      </c>
      <c r="F150" s="75">
        <v>0.30546305316762901</v>
      </c>
      <c r="G150" s="76">
        <v>0.37224319536243139</v>
      </c>
      <c r="H150" s="72" t="s">
        <v>297</v>
      </c>
      <c r="I150" s="72" t="s">
        <v>298</v>
      </c>
    </row>
    <row r="151" spans="1:9" ht="12.75" customHeight="1" x14ac:dyDescent="0.2">
      <c r="A151" s="71">
        <v>152</v>
      </c>
      <c r="B151" s="72" t="s">
        <v>282</v>
      </c>
      <c r="C151" s="73">
        <v>16.350383333333333</v>
      </c>
      <c r="D151" s="74">
        <v>53.275783333332981</v>
      </c>
      <c r="E151" s="73">
        <v>1851.3935333527525</v>
      </c>
      <c r="F151" s="75">
        <v>3.3806384395616458E-2</v>
      </c>
      <c r="G151" s="76">
        <v>4.0799971863112086E-2</v>
      </c>
      <c r="H151" s="72" t="s">
        <v>23</v>
      </c>
      <c r="I151" s="72" t="s">
        <v>283</v>
      </c>
    </row>
    <row r="152" spans="1:9" ht="12.75" customHeight="1" x14ac:dyDescent="0.2">
      <c r="A152" s="71">
        <v>153</v>
      </c>
      <c r="B152" s="72" t="s">
        <v>282</v>
      </c>
      <c r="C152" s="73">
        <v>16.430500000000002</v>
      </c>
      <c r="D152" s="74">
        <v>80.011381157593632</v>
      </c>
      <c r="E152" s="73">
        <v>4197.8826501965077</v>
      </c>
      <c r="F152" s="75">
        <v>5.0771576468692216E-2</v>
      </c>
      <c r="G152" s="76">
        <v>9.2510582394926488E-2</v>
      </c>
      <c r="H152" s="72" t="s">
        <v>23</v>
      </c>
      <c r="I152" s="72" t="s">
        <v>283</v>
      </c>
    </row>
    <row r="153" spans="1:9" ht="12.75" customHeight="1" x14ac:dyDescent="0.2">
      <c r="A153" s="71">
        <v>157</v>
      </c>
      <c r="B153" s="72" t="s">
        <v>299</v>
      </c>
      <c r="C153" s="73">
        <v>16.659366666666667</v>
      </c>
      <c r="D153" s="74">
        <v>1604.3197412783456</v>
      </c>
      <c r="E153" s="73">
        <v>44617.446939921392</v>
      </c>
      <c r="F153" s="75">
        <v>1.018028201064437</v>
      </c>
      <c r="G153" s="76">
        <v>0.98325426061961063</v>
      </c>
      <c r="H153" s="72" t="s">
        <v>300</v>
      </c>
      <c r="I153" s="72" t="s">
        <v>301</v>
      </c>
    </row>
    <row r="154" spans="1:9" ht="12.75" customHeight="1" x14ac:dyDescent="0.2">
      <c r="A154" s="71">
        <v>158</v>
      </c>
      <c r="B154" s="72" t="s">
        <v>302</v>
      </c>
      <c r="C154" s="73">
        <v>16.710866666666668</v>
      </c>
      <c r="D154" s="74">
        <v>357.48369280483234</v>
      </c>
      <c r="E154" s="73">
        <v>9129.8352049410369</v>
      </c>
      <c r="F154" s="75">
        <v>0.22684286138995691</v>
      </c>
      <c r="G154" s="76">
        <v>0.20119818545648516</v>
      </c>
      <c r="H154" s="72" t="s">
        <v>23</v>
      </c>
      <c r="I154" s="72" t="s">
        <v>303</v>
      </c>
    </row>
    <row r="155" spans="1:9" ht="12.75" customHeight="1" x14ac:dyDescent="0.2">
      <c r="A155" s="71">
        <v>159</v>
      </c>
      <c r="B155" s="72" t="s">
        <v>282</v>
      </c>
      <c r="C155" s="73">
        <v>16.745200000000001</v>
      </c>
      <c r="D155" s="74">
        <v>66.510966666668764</v>
      </c>
      <c r="E155" s="73">
        <v>2886.5637290604081</v>
      </c>
      <c r="F155" s="75">
        <v>4.2204828628969668E-2</v>
      </c>
      <c r="G155" s="76">
        <v>6.3612471797645134E-2</v>
      </c>
      <c r="H155" s="72" t="s">
        <v>23</v>
      </c>
      <c r="I155" s="72" t="s">
        <v>283</v>
      </c>
    </row>
    <row r="156" spans="1:9" ht="12.75" customHeight="1" x14ac:dyDescent="0.2">
      <c r="A156" s="71">
        <v>160</v>
      </c>
      <c r="B156" s="72" t="s">
        <v>304</v>
      </c>
      <c r="C156" s="73">
        <v>16.796700000000001</v>
      </c>
      <c r="D156" s="74">
        <v>55.388268430652431</v>
      </c>
      <c r="E156" s="73">
        <v>2069.4823133071222</v>
      </c>
      <c r="F156" s="75">
        <v>3.5146871175194411E-2</v>
      </c>
      <c r="G156" s="76">
        <v>4.5606090025189165E-2</v>
      </c>
      <c r="H156" s="72" t="s">
        <v>23</v>
      </c>
      <c r="I156" s="72" t="s">
        <v>305</v>
      </c>
    </row>
    <row r="157" spans="1:9" ht="12.75" customHeight="1" x14ac:dyDescent="0.2">
      <c r="A157" s="71">
        <v>161</v>
      </c>
      <c r="B157" s="72" t="s">
        <v>306</v>
      </c>
      <c r="C157" s="73">
        <v>16.842483333333334</v>
      </c>
      <c r="D157" s="74">
        <v>559.10405875796584</v>
      </c>
      <c r="E157" s="73">
        <v>22721.117770915211</v>
      </c>
      <c r="F157" s="75">
        <v>0.35478195804762913</v>
      </c>
      <c r="G157" s="76">
        <v>0.50071524451801563</v>
      </c>
      <c r="H157" s="72" t="s">
        <v>307</v>
      </c>
      <c r="I157" s="72" t="s">
        <v>308</v>
      </c>
    </row>
    <row r="158" spans="1:9" ht="12.75" customHeight="1" x14ac:dyDescent="0.2">
      <c r="A158" s="71">
        <v>162</v>
      </c>
      <c r="B158" s="72" t="s">
        <v>304</v>
      </c>
      <c r="C158" s="73">
        <v>16.882533333333335</v>
      </c>
      <c r="D158" s="74">
        <v>38.663941666666403</v>
      </c>
      <c r="E158" s="73">
        <v>1970.2800970873777</v>
      </c>
      <c r="F158" s="75">
        <v>2.4534375516449932E-2</v>
      </c>
      <c r="G158" s="76">
        <v>4.3419927246930848E-2</v>
      </c>
      <c r="H158" s="72" t="s">
        <v>23</v>
      </c>
      <c r="I158" s="72" t="s">
        <v>305</v>
      </c>
    </row>
    <row r="159" spans="1:9" ht="12.75" customHeight="1" x14ac:dyDescent="0.2">
      <c r="A159" s="71">
        <v>163</v>
      </c>
      <c r="B159" s="72" t="s">
        <v>302</v>
      </c>
      <c r="C159" s="73">
        <v>16.93975</v>
      </c>
      <c r="D159" s="74">
        <v>240.12063156434715</v>
      </c>
      <c r="E159" s="73">
        <v>11266.117324944647</v>
      </c>
      <c r="F159" s="75">
        <v>0.15236961080783545</v>
      </c>
      <c r="G159" s="76">
        <v>0.24827637213999124</v>
      </c>
      <c r="H159" s="72" t="s">
        <v>23</v>
      </c>
      <c r="I159" s="72" t="s">
        <v>303</v>
      </c>
    </row>
    <row r="160" spans="1:9" ht="12.75" customHeight="1" x14ac:dyDescent="0.2">
      <c r="A160" s="71">
        <v>164</v>
      </c>
      <c r="B160" s="72" t="s">
        <v>302</v>
      </c>
      <c r="C160" s="73">
        <v>17.019850000000002</v>
      </c>
      <c r="D160" s="74">
        <v>295.35162676900745</v>
      </c>
      <c r="E160" s="73">
        <v>8638.7765350110531</v>
      </c>
      <c r="F160" s="75">
        <v>0.18741668356055033</v>
      </c>
      <c r="G160" s="76">
        <v>0.19037651002371092</v>
      </c>
      <c r="H160" s="72" t="s">
        <v>23</v>
      </c>
      <c r="I160" s="72" t="s">
        <v>303</v>
      </c>
    </row>
    <row r="161" spans="1:9" ht="12.75" customHeight="1" x14ac:dyDescent="0.2">
      <c r="A161" s="71">
        <v>168</v>
      </c>
      <c r="B161" s="72" t="s">
        <v>304</v>
      </c>
      <c r="C161" s="73">
        <v>17.208683333333333</v>
      </c>
      <c r="D161" s="74">
        <v>116.54597287084096</v>
      </c>
      <c r="E161" s="73">
        <v>5470.8523651702326</v>
      </c>
      <c r="F161" s="75">
        <v>7.3954763536392784E-2</v>
      </c>
      <c r="G161" s="76">
        <v>0.12056357470470683</v>
      </c>
      <c r="H161" s="72" t="s">
        <v>23</v>
      </c>
      <c r="I161" s="72" t="s">
        <v>305</v>
      </c>
    </row>
    <row r="162" spans="1:9" ht="12.75" customHeight="1" x14ac:dyDescent="0.2">
      <c r="A162" s="71">
        <v>169</v>
      </c>
      <c r="B162" s="72" t="s">
        <v>282</v>
      </c>
      <c r="C162" s="73">
        <v>17.254450000000002</v>
      </c>
      <c r="D162" s="74">
        <v>139.3025650873783</v>
      </c>
      <c r="E162" s="73">
        <v>5228.0603595460434</v>
      </c>
      <c r="F162" s="75">
        <v>8.839505996888497E-2</v>
      </c>
      <c r="G162" s="76">
        <v>0.11521306071640497</v>
      </c>
      <c r="H162" s="72" t="s">
        <v>23</v>
      </c>
      <c r="I162" s="72" t="s">
        <v>283</v>
      </c>
    </row>
    <row r="163" spans="1:9" ht="12.75" customHeight="1" x14ac:dyDescent="0.2">
      <c r="A163" s="71">
        <v>170</v>
      </c>
      <c r="B163" s="72" t="s">
        <v>304</v>
      </c>
      <c r="C163" s="73">
        <v>17.277350000000002</v>
      </c>
      <c r="D163" s="74">
        <v>58.080357694755435</v>
      </c>
      <c r="E163" s="73">
        <v>3044.6174550567412</v>
      </c>
      <c r="F163" s="75">
        <v>3.6855148347209946E-2</v>
      </c>
      <c r="G163" s="76">
        <v>6.7095571126523326E-2</v>
      </c>
      <c r="H163" s="72" t="s">
        <v>23</v>
      </c>
      <c r="I163" s="72" t="s">
        <v>305</v>
      </c>
    </row>
    <row r="164" spans="1:9" ht="12.75" customHeight="1" x14ac:dyDescent="0.2">
      <c r="A164" s="71">
        <v>171</v>
      </c>
      <c r="B164" s="72" t="s">
        <v>304</v>
      </c>
      <c r="C164" s="73">
        <v>17.397500000000001</v>
      </c>
      <c r="D164" s="74">
        <v>85.690841666664141</v>
      </c>
      <c r="E164" s="73">
        <v>3986.6712442778335</v>
      </c>
      <c r="F164" s="75">
        <v>5.4375503302166513E-2</v>
      </c>
      <c r="G164" s="76">
        <v>8.7856023942923772E-2</v>
      </c>
      <c r="H164" s="72" t="s">
        <v>23</v>
      </c>
      <c r="I164" s="72" t="s">
        <v>305</v>
      </c>
    </row>
    <row r="165" spans="1:9" ht="12.75" customHeight="1" x14ac:dyDescent="0.2">
      <c r="A165" s="71">
        <v>172</v>
      </c>
      <c r="B165" s="72" t="s">
        <v>309</v>
      </c>
      <c r="C165" s="73">
        <v>17.443283333333333</v>
      </c>
      <c r="D165" s="74">
        <v>1848.0776666667248</v>
      </c>
      <c r="E165" s="73">
        <v>50042.000000000015</v>
      </c>
      <c r="F165" s="75">
        <v>1.1727058727862842</v>
      </c>
      <c r="G165" s="76">
        <v>1.1027975172174489</v>
      </c>
      <c r="H165" s="72" t="s">
        <v>23</v>
      </c>
      <c r="I165" s="72" t="s">
        <v>310</v>
      </c>
    </row>
    <row r="166" spans="1:9" ht="12.75" customHeight="1" x14ac:dyDescent="0.2">
      <c r="A166" s="71">
        <v>173</v>
      </c>
      <c r="B166" s="72" t="s">
        <v>304</v>
      </c>
      <c r="C166" s="73">
        <v>17.523383333333335</v>
      </c>
      <c r="D166" s="74">
        <v>237.4259999999997</v>
      </c>
      <c r="E166" s="73">
        <v>5278.5242718446461</v>
      </c>
      <c r="F166" s="75">
        <v>0.1506597204079341</v>
      </c>
      <c r="G166" s="76">
        <v>0.11632515610012223</v>
      </c>
      <c r="H166" s="72" t="s">
        <v>23</v>
      </c>
      <c r="I166" s="72" t="s">
        <v>305</v>
      </c>
    </row>
    <row r="167" spans="1:9" ht="12.75" customHeight="1" x14ac:dyDescent="0.2">
      <c r="A167" s="71">
        <v>174</v>
      </c>
      <c r="B167" s="72" t="s">
        <v>304</v>
      </c>
      <c r="C167" s="73">
        <v>17.61495</v>
      </c>
      <c r="D167" s="74">
        <v>18.796792626409456</v>
      </c>
      <c r="E167" s="73">
        <v>1936.4971991933744</v>
      </c>
      <c r="F167" s="75">
        <v>1.1927588055481579E-2</v>
      </c>
      <c r="G167" s="76">
        <v>4.2675438698872865E-2</v>
      </c>
      <c r="H167" s="72" t="s">
        <v>23</v>
      </c>
      <c r="I167" s="72" t="s">
        <v>305</v>
      </c>
    </row>
    <row r="168" spans="1:9" ht="12.75" customHeight="1" x14ac:dyDescent="0.2">
      <c r="A168" s="71">
        <v>175</v>
      </c>
      <c r="B168" s="72" t="s">
        <v>304</v>
      </c>
      <c r="C168" s="73">
        <v>17.649266666666666</v>
      </c>
      <c r="D168" s="74">
        <v>71.983399040258291</v>
      </c>
      <c r="E168" s="73">
        <v>2839.7784001792606</v>
      </c>
      <c r="F168" s="75">
        <v>4.5677384841668896E-2</v>
      </c>
      <c r="G168" s="76">
        <v>6.2581442971212708E-2</v>
      </c>
      <c r="H168" s="72" t="s">
        <v>23</v>
      </c>
      <c r="I168" s="72" t="s">
        <v>305</v>
      </c>
    </row>
    <row r="169" spans="1:9" ht="12.75" customHeight="1" x14ac:dyDescent="0.2">
      <c r="A169" s="71">
        <v>176</v>
      </c>
      <c r="B169" s="72" t="s">
        <v>304</v>
      </c>
      <c r="C169" s="73">
        <v>17.706500000000002</v>
      </c>
      <c r="D169" s="74">
        <v>47.440371609155477</v>
      </c>
      <c r="E169" s="73">
        <v>3377.6775711404734</v>
      </c>
      <c r="F169" s="75">
        <v>3.0103498027528024E-2</v>
      </c>
      <c r="G169" s="76">
        <v>7.4435363083305547E-2</v>
      </c>
      <c r="H169" s="72" t="s">
        <v>23</v>
      </c>
      <c r="I169" s="72" t="s">
        <v>305</v>
      </c>
    </row>
    <row r="170" spans="1:9" ht="12.75" customHeight="1" x14ac:dyDescent="0.2">
      <c r="A170" s="71">
        <v>177</v>
      </c>
      <c r="B170" s="72" t="s">
        <v>304</v>
      </c>
      <c r="C170" s="73">
        <v>17.746549999999999</v>
      </c>
      <c r="D170" s="74">
        <v>71.048895057511118</v>
      </c>
      <c r="E170" s="73">
        <v>3468.3224288595266</v>
      </c>
      <c r="F170" s="75">
        <v>4.5084391198340915E-2</v>
      </c>
      <c r="G170" s="76">
        <v>7.6432943596496467E-2</v>
      </c>
      <c r="H170" s="72" t="s">
        <v>23</v>
      </c>
      <c r="I170" s="72" t="s">
        <v>305</v>
      </c>
    </row>
    <row r="171" spans="1:9" ht="12.75" customHeight="1" x14ac:dyDescent="0.2">
      <c r="A171" s="71">
        <v>178</v>
      </c>
      <c r="B171" s="72" t="s">
        <v>304</v>
      </c>
      <c r="C171" s="73">
        <v>17.809483333333333</v>
      </c>
      <c r="D171" s="74">
        <v>147.61558610870975</v>
      </c>
      <c r="E171" s="73">
        <v>4350.0005394325381</v>
      </c>
      <c r="F171" s="75">
        <v>9.3670124295534438E-2</v>
      </c>
      <c r="G171" s="76">
        <v>9.5862871083904816E-2</v>
      </c>
      <c r="H171" s="72" t="s">
        <v>23</v>
      </c>
      <c r="I171" s="72" t="s">
        <v>305</v>
      </c>
    </row>
    <row r="172" spans="1:9" ht="12.75" customHeight="1" x14ac:dyDescent="0.2">
      <c r="A172" s="71">
        <v>179</v>
      </c>
      <c r="B172" s="72" t="s">
        <v>304</v>
      </c>
      <c r="C172" s="73">
        <v>17.866716666666669</v>
      </c>
      <c r="D172" s="74">
        <v>275.24623889129208</v>
      </c>
      <c r="E172" s="73">
        <v>10704.999029021386</v>
      </c>
      <c r="F172" s="75">
        <v>0.17465872058956286</v>
      </c>
      <c r="G172" s="76">
        <v>0.23591076198033617</v>
      </c>
      <c r="H172" s="72" t="s">
        <v>23</v>
      </c>
      <c r="I172" s="72" t="s">
        <v>305</v>
      </c>
    </row>
    <row r="173" spans="1:9" ht="12.75" customHeight="1" x14ac:dyDescent="0.2">
      <c r="A173" s="71">
        <v>180</v>
      </c>
      <c r="B173" s="72" t="s">
        <v>304</v>
      </c>
      <c r="C173" s="73">
        <v>17.906766666666666</v>
      </c>
      <c r="D173" s="74">
        <v>12.257225000000005</v>
      </c>
      <c r="E173" s="73">
        <v>1096.6941747572782</v>
      </c>
      <c r="F173" s="75">
        <v>7.7778764392995841E-3</v>
      </c>
      <c r="G173" s="76">
        <v>2.4168330863457994E-2</v>
      </c>
      <c r="H173" s="72" t="s">
        <v>23</v>
      </c>
      <c r="I173" s="72" t="s">
        <v>305</v>
      </c>
    </row>
    <row r="174" spans="1:9" ht="12.75" customHeight="1" x14ac:dyDescent="0.2">
      <c r="A174" s="71">
        <v>181</v>
      </c>
      <c r="B174" s="72" t="s">
        <v>304</v>
      </c>
      <c r="C174" s="73">
        <v>17.952533333333335</v>
      </c>
      <c r="D174" s="74">
        <v>1060.4780250000492</v>
      </c>
      <c r="E174" s="73">
        <v>41084.893387707474</v>
      </c>
      <c r="F174" s="75">
        <v>0.67293103006943533</v>
      </c>
      <c r="G174" s="76">
        <v>0.90540582756699106</v>
      </c>
      <c r="H174" s="72" t="s">
        <v>23</v>
      </c>
      <c r="I174" s="72" t="s">
        <v>305</v>
      </c>
    </row>
    <row r="175" spans="1:9" ht="12.75" customHeight="1" x14ac:dyDescent="0.2">
      <c r="A175" s="71">
        <v>182</v>
      </c>
      <c r="B175" s="72" t="s">
        <v>304</v>
      </c>
      <c r="C175" s="73">
        <v>18.0212</v>
      </c>
      <c r="D175" s="74">
        <v>69.336091666672246</v>
      </c>
      <c r="E175" s="73">
        <v>3572.9198834668859</v>
      </c>
      <c r="F175" s="75">
        <v>4.3997524216723288E-2</v>
      </c>
      <c r="G175" s="76">
        <v>7.8738003611049462E-2</v>
      </c>
      <c r="H175" s="72" t="s">
        <v>23</v>
      </c>
      <c r="I175" s="72" t="s">
        <v>305</v>
      </c>
    </row>
    <row r="176" spans="1:9" ht="12.75" customHeight="1" x14ac:dyDescent="0.2">
      <c r="A176" s="71">
        <v>183</v>
      </c>
      <c r="B176" s="72" t="s">
        <v>309</v>
      </c>
      <c r="C176" s="73">
        <v>18.066983333333333</v>
      </c>
      <c r="D176" s="74">
        <v>700.24839999998471</v>
      </c>
      <c r="E176" s="73">
        <v>29758.319307331301</v>
      </c>
      <c r="F176" s="75">
        <v>0.44434572523692023</v>
      </c>
      <c r="G176" s="76">
        <v>0.65579714337334682</v>
      </c>
      <c r="H176" s="72" t="s">
        <v>23</v>
      </c>
      <c r="I176" s="72" t="s">
        <v>310</v>
      </c>
    </row>
    <row r="177" spans="1:9" ht="12.75" customHeight="1" x14ac:dyDescent="0.2">
      <c r="A177" s="71">
        <v>184</v>
      </c>
      <c r="B177" s="72" t="s">
        <v>304</v>
      </c>
      <c r="C177" s="73">
        <v>18.129916666666666</v>
      </c>
      <c r="D177" s="74">
        <v>35.895183333332625</v>
      </c>
      <c r="E177" s="73">
        <v>2504.1072261072113</v>
      </c>
      <c r="F177" s="75">
        <v>2.2777447646809685E-2</v>
      </c>
      <c r="G177" s="76">
        <v>5.5184109983559902E-2</v>
      </c>
      <c r="H177" s="72" t="s">
        <v>23</v>
      </c>
      <c r="I177" s="72" t="s">
        <v>305</v>
      </c>
    </row>
    <row r="178" spans="1:9" ht="12.75" customHeight="1" x14ac:dyDescent="0.2">
      <c r="A178" s="71">
        <v>185</v>
      </c>
      <c r="B178" s="72" t="s">
        <v>304</v>
      </c>
      <c r="C178" s="73">
        <v>18.2043</v>
      </c>
      <c r="D178" s="74">
        <v>242.17971708849154</v>
      </c>
      <c r="E178" s="73">
        <v>7956.1568133511901</v>
      </c>
      <c r="F178" s="75">
        <v>0.15367621265162518</v>
      </c>
      <c r="G178" s="76">
        <v>0.17533331961864793</v>
      </c>
      <c r="H178" s="72" t="s">
        <v>23</v>
      </c>
      <c r="I178" s="72" t="s">
        <v>305</v>
      </c>
    </row>
    <row r="179" spans="1:9" ht="12.75" customHeight="1" x14ac:dyDescent="0.2">
      <c r="A179" s="71">
        <v>186</v>
      </c>
      <c r="B179" s="72" t="s">
        <v>304</v>
      </c>
      <c r="C179" s="73">
        <v>18.2272</v>
      </c>
      <c r="D179" s="74">
        <v>149.35358256906818</v>
      </c>
      <c r="E179" s="73">
        <v>6499.3704636700058</v>
      </c>
      <c r="F179" s="75">
        <v>9.4772977651053969E-2</v>
      </c>
      <c r="G179" s="76">
        <v>0.14322947945349304</v>
      </c>
      <c r="H179" s="72" t="s">
        <v>23</v>
      </c>
      <c r="I179" s="72" t="s">
        <v>305</v>
      </c>
    </row>
    <row r="180" spans="1:9" ht="12.75" customHeight="1" x14ac:dyDescent="0.2">
      <c r="A180" s="71">
        <v>187</v>
      </c>
      <c r="B180" s="72" t="s">
        <v>304</v>
      </c>
      <c r="C180" s="73">
        <v>18.255800000000001</v>
      </c>
      <c r="D180" s="74">
        <v>214.28771503123585</v>
      </c>
      <c r="E180" s="73">
        <v>6241.1045422341049</v>
      </c>
      <c r="F180" s="75">
        <v>0.13597721914811811</v>
      </c>
      <c r="G180" s="76">
        <v>0.13753795999101376</v>
      </c>
      <c r="H180" s="72" t="s">
        <v>23</v>
      </c>
      <c r="I180" s="72" t="s">
        <v>305</v>
      </c>
    </row>
    <row r="181" spans="1:9" ht="12.75" customHeight="1" x14ac:dyDescent="0.2">
      <c r="A181" s="71">
        <v>188</v>
      </c>
      <c r="B181" s="72" t="s">
        <v>311</v>
      </c>
      <c r="C181" s="73">
        <v>18.307300000000001</v>
      </c>
      <c r="D181" s="74">
        <v>187.41047320841699</v>
      </c>
      <c r="E181" s="73">
        <v>6615.0522711170197</v>
      </c>
      <c r="F181" s="75">
        <v>0.11892214624808893</v>
      </c>
      <c r="G181" s="76">
        <v>0.14577881021644806</v>
      </c>
      <c r="H181" s="72" t="s">
        <v>312</v>
      </c>
      <c r="I181" s="72" t="s">
        <v>313</v>
      </c>
    </row>
    <row r="182" spans="1:9" ht="12.75" customHeight="1" x14ac:dyDescent="0.2">
      <c r="A182" s="71">
        <v>189</v>
      </c>
      <c r="B182" s="72" t="s">
        <v>304</v>
      </c>
      <c r="C182" s="73">
        <v>18.335916666666666</v>
      </c>
      <c r="D182" s="74">
        <v>176.99134543611694</v>
      </c>
      <c r="E182" s="73">
        <v>7545.4750059041107</v>
      </c>
      <c r="F182" s="75">
        <v>0.11231064254980286</v>
      </c>
      <c r="G182" s="76">
        <v>0.16628294438146687</v>
      </c>
      <c r="H182" s="72" t="s">
        <v>23</v>
      </c>
      <c r="I182" s="72" t="s">
        <v>305</v>
      </c>
    </row>
    <row r="183" spans="1:9" ht="12.75" customHeight="1" x14ac:dyDescent="0.2">
      <c r="A183" s="71">
        <v>190</v>
      </c>
      <c r="B183" s="72" t="s">
        <v>311</v>
      </c>
      <c r="C183" s="73">
        <v>18.370249999999999</v>
      </c>
      <c r="D183" s="74">
        <v>116.85431666666977</v>
      </c>
      <c r="E183" s="73">
        <v>4454.7774945375422</v>
      </c>
      <c r="F183" s="75">
        <v>7.4150424458402545E-2</v>
      </c>
      <c r="G183" s="76">
        <v>9.8171886829706401E-2</v>
      </c>
      <c r="H183" s="72" t="s">
        <v>312</v>
      </c>
      <c r="I183" s="72" t="s">
        <v>313</v>
      </c>
    </row>
    <row r="184" spans="1:9" ht="12.75" customHeight="1" x14ac:dyDescent="0.2">
      <c r="A184" s="71">
        <v>191</v>
      </c>
      <c r="B184" s="72" t="s">
        <v>304</v>
      </c>
      <c r="C184" s="73">
        <v>18.45035</v>
      </c>
      <c r="D184" s="74">
        <v>145.52837500000896</v>
      </c>
      <c r="E184" s="73">
        <v>5736.8052420822787</v>
      </c>
      <c r="F184" s="75">
        <v>9.2345675237431299E-2</v>
      </c>
      <c r="G184" s="76">
        <v>0.12642449497878544</v>
      </c>
      <c r="H184" s="72" t="s">
        <v>23</v>
      </c>
      <c r="I184" s="72" t="s">
        <v>305</v>
      </c>
    </row>
    <row r="185" spans="1:9" ht="12.75" customHeight="1" x14ac:dyDescent="0.2">
      <c r="A185" s="71">
        <v>192</v>
      </c>
      <c r="B185" s="72" t="s">
        <v>311</v>
      </c>
      <c r="C185" s="73">
        <v>18.478966666666668</v>
      </c>
      <c r="D185" s="74">
        <v>29.160874999999351</v>
      </c>
      <c r="E185" s="73">
        <v>1867.046579330432</v>
      </c>
      <c r="F185" s="75">
        <v>1.8504162452092958E-2</v>
      </c>
      <c r="G185" s="76">
        <v>4.114492490737641E-2</v>
      </c>
      <c r="H185" s="72" t="s">
        <v>312</v>
      </c>
      <c r="I185" s="72" t="s">
        <v>313</v>
      </c>
    </row>
    <row r="186" spans="1:9" ht="12.75" customHeight="1" x14ac:dyDescent="0.2">
      <c r="A186" s="71">
        <v>193</v>
      </c>
      <c r="B186" s="72" t="s">
        <v>304</v>
      </c>
      <c r="C186" s="73">
        <v>18.576233333333334</v>
      </c>
      <c r="D186" s="74">
        <v>450.69094442398091</v>
      </c>
      <c r="E186" s="73">
        <v>11688.458361891717</v>
      </c>
      <c r="F186" s="75">
        <v>0.28598793593500632</v>
      </c>
      <c r="G186" s="76">
        <v>0.25758368693484895</v>
      </c>
      <c r="H186" s="72" t="s">
        <v>23</v>
      </c>
      <c r="I186" s="72" t="s">
        <v>305</v>
      </c>
    </row>
    <row r="187" spans="1:9" ht="12.75" customHeight="1" x14ac:dyDescent="0.2">
      <c r="A187" s="71">
        <v>194</v>
      </c>
      <c r="B187" s="72" t="s">
        <v>304</v>
      </c>
      <c r="C187" s="73">
        <v>18.6449</v>
      </c>
      <c r="D187" s="74">
        <v>59.916138909352412</v>
      </c>
      <c r="E187" s="73">
        <v>4223.5693968471824</v>
      </c>
      <c r="F187" s="75">
        <v>3.8020051451845997E-2</v>
      </c>
      <c r="G187" s="76">
        <v>9.3076652504669469E-2</v>
      </c>
      <c r="H187" s="72" t="s">
        <v>23</v>
      </c>
      <c r="I187" s="72" t="s">
        <v>305</v>
      </c>
    </row>
    <row r="188" spans="1:9" ht="12.75" customHeight="1" x14ac:dyDescent="0.2">
      <c r="A188" s="71">
        <v>195</v>
      </c>
      <c r="B188" s="72" t="s">
        <v>311</v>
      </c>
      <c r="C188" s="73">
        <v>18.684950000000001</v>
      </c>
      <c r="D188" s="74">
        <v>117.32385371141754</v>
      </c>
      <c r="E188" s="73">
        <v>5627.6801807157462</v>
      </c>
      <c r="F188" s="75">
        <v>7.4448371270810901E-2</v>
      </c>
      <c r="G188" s="76">
        <v>0.12401965810693351</v>
      </c>
      <c r="H188" s="72" t="s">
        <v>312</v>
      </c>
      <c r="I188" s="72" t="s">
        <v>313</v>
      </c>
    </row>
    <row r="189" spans="1:9" ht="12.75" customHeight="1" x14ac:dyDescent="0.2">
      <c r="A189" s="71">
        <v>196</v>
      </c>
      <c r="B189" s="72" t="s">
        <v>314</v>
      </c>
      <c r="C189" s="73">
        <v>18.730733333333333</v>
      </c>
      <c r="D189" s="74">
        <v>93.2020140054683</v>
      </c>
      <c r="E189" s="73">
        <v>4140.6470098680584</v>
      </c>
      <c r="F189" s="75">
        <v>5.9141750994079124E-2</v>
      </c>
      <c r="G189" s="76">
        <v>9.1249255468533366E-2</v>
      </c>
      <c r="H189" s="72" t="s">
        <v>315</v>
      </c>
      <c r="I189" s="72" t="s">
        <v>316</v>
      </c>
    </row>
    <row r="190" spans="1:9" ht="12.75" customHeight="1" x14ac:dyDescent="0.2">
      <c r="A190" s="71">
        <v>197</v>
      </c>
      <c r="B190" s="72" t="s">
        <v>311</v>
      </c>
      <c r="C190" s="73">
        <v>18.805116666666667</v>
      </c>
      <c r="D190" s="74">
        <v>611.23805109875502</v>
      </c>
      <c r="E190" s="73">
        <v>9879.3124479847975</v>
      </c>
      <c r="F190" s="75">
        <v>0.38786381390929842</v>
      </c>
      <c r="G190" s="76">
        <v>0.21771474440376221</v>
      </c>
      <c r="H190" s="72" t="s">
        <v>312</v>
      </c>
      <c r="I190" s="72" t="s">
        <v>313</v>
      </c>
    </row>
    <row r="191" spans="1:9" ht="12.75" customHeight="1" x14ac:dyDescent="0.2">
      <c r="A191" s="71">
        <v>198</v>
      </c>
      <c r="B191" s="72" t="s">
        <v>304</v>
      </c>
      <c r="C191" s="73">
        <v>18.89095</v>
      </c>
      <c r="D191" s="74">
        <v>427.69309785103269</v>
      </c>
      <c r="E191" s="73">
        <v>10049.621210319827</v>
      </c>
      <c r="F191" s="75">
        <v>0.27139455048158106</v>
      </c>
      <c r="G191" s="76">
        <v>0.22146791334711874</v>
      </c>
      <c r="H191" s="72" t="s">
        <v>23</v>
      </c>
      <c r="I191" s="72" t="s">
        <v>305</v>
      </c>
    </row>
    <row r="192" spans="1:9" ht="12.75" customHeight="1" x14ac:dyDescent="0.2">
      <c r="A192" s="71">
        <v>199</v>
      </c>
      <c r="B192" s="72" t="s">
        <v>314</v>
      </c>
      <c r="C192" s="73">
        <v>18.953883333333334</v>
      </c>
      <c r="D192" s="74">
        <v>13.95859887752431</v>
      </c>
      <c r="E192" s="73">
        <v>1935.6984228473666</v>
      </c>
      <c r="F192" s="75">
        <v>8.8574907725957469E-3</v>
      </c>
      <c r="G192" s="76">
        <v>4.2657835713956413E-2</v>
      </c>
      <c r="H192" s="72" t="s">
        <v>315</v>
      </c>
      <c r="I192" s="72" t="s">
        <v>316</v>
      </c>
    </row>
    <row r="193" spans="1:9" ht="12.75" customHeight="1" x14ac:dyDescent="0.2">
      <c r="A193" s="71">
        <v>200</v>
      </c>
      <c r="B193" s="72" t="s">
        <v>314</v>
      </c>
      <c r="C193" s="73">
        <v>18.982500000000002</v>
      </c>
      <c r="D193" s="74">
        <v>31.370531969308558</v>
      </c>
      <c r="E193" s="73">
        <v>2551.4774083545854</v>
      </c>
      <c r="F193" s="75">
        <v>1.9906310073640594E-2</v>
      </c>
      <c r="G193" s="76">
        <v>5.6228027480313469E-2</v>
      </c>
      <c r="H193" s="72" t="s">
        <v>315</v>
      </c>
      <c r="I193" s="72" t="s">
        <v>316</v>
      </c>
    </row>
    <row r="194" spans="1:9" ht="12.75" customHeight="1" x14ac:dyDescent="0.2">
      <c r="A194" s="71">
        <v>201</v>
      </c>
      <c r="B194" s="72" t="s">
        <v>304</v>
      </c>
      <c r="C194" s="73">
        <v>18.999666666666666</v>
      </c>
      <c r="D194" s="74">
        <v>14.142275000002428</v>
      </c>
      <c r="E194" s="73">
        <v>1891.029112081691</v>
      </c>
      <c r="F194" s="75">
        <v>8.974043270039863E-3</v>
      </c>
      <c r="G194" s="76">
        <v>4.1673438507445842E-2</v>
      </c>
      <c r="H194" s="72" t="s">
        <v>23</v>
      </c>
      <c r="I194" s="72" t="s">
        <v>305</v>
      </c>
    </row>
    <row r="195" spans="1:9" ht="12.75" customHeight="1" x14ac:dyDescent="0.2">
      <c r="A195" s="71">
        <v>202</v>
      </c>
      <c r="B195" s="72" t="s">
        <v>311</v>
      </c>
      <c r="C195" s="73">
        <v>19.07405</v>
      </c>
      <c r="D195" s="74">
        <v>1089.4787494245252</v>
      </c>
      <c r="E195" s="73">
        <v>28169.869352088645</v>
      </c>
      <c r="F195" s="75">
        <v>0.69133356826415326</v>
      </c>
      <c r="G195" s="76">
        <v>0.62079177454584655</v>
      </c>
      <c r="H195" s="72" t="s">
        <v>312</v>
      </c>
      <c r="I195" s="72" t="s">
        <v>313</v>
      </c>
    </row>
    <row r="196" spans="1:9" ht="12.75" customHeight="1" x14ac:dyDescent="0.2">
      <c r="A196" s="71">
        <v>203</v>
      </c>
      <c r="B196" s="72" t="s">
        <v>314</v>
      </c>
      <c r="C196" s="73">
        <v>19.114100000000001</v>
      </c>
      <c r="D196" s="74">
        <v>526.31173639529288</v>
      </c>
      <c r="E196" s="73">
        <v>10341.045183290677</v>
      </c>
      <c r="F196" s="75">
        <v>0.33397344457948686</v>
      </c>
      <c r="G196" s="76">
        <v>0.22789015134419913</v>
      </c>
      <c r="H196" s="72" t="s">
        <v>315</v>
      </c>
      <c r="I196" s="72" t="s">
        <v>316</v>
      </c>
    </row>
    <row r="197" spans="1:9" ht="12.75" customHeight="1" x14ac:dyDescent="0.2">
      <c r="A197" s="71">
        <v>204</v>
      </c>
      <c r="B197" s="72" t="s">
        <v>311</v>
      </c>
      <c r="C197" s="73">
        <v>19.165600000000001</v>
      </c>
      <c r="D197" s="74">
        <v>14.340416666666442</v>
      </c>
      <c r="E197" s="73">
        <v>2671.7553398056989</v>
      </c>
      <c r="F197" s="75">
        <v>9.0997749426484347E-3</v>
      </c>
      <c r="G197" s="76">
        <v>5.8878645045165774E-2</v>
      </c>
      <c r="H197" s="72" t="s">
        <v>312</v>
      </c>
      <c r="I197" s="72" t="s">
        <v>313</v>
      </c>
    </row>
    <row r="198" spans="1:9" ht="12.75" customHeight="1" x14ac:dyDescent="0.2">
      <c r="A198" s="71">
        <v>205</v>
      </c>
      <c r="B198" s="72" t="s">
        <v>314</v>
      </c>
      <c r="C198" s="73">
        <v>19.199933333333334</v>
      </c>
      <c r="D198" s="74">
        <v>112.57515851254516</v>
      </c>
      <c r="E198" s="73">
        <v>3188.639784946281</v>
      </c>
      <c r="F198" s="75">
        <v>7.1435065689431393E-2</v>
      </c>
      <c r="G198" s="76">
        <v>7.0269454421077043E-2</v>
      </c>
      <c r="H198" s="72" t="s">
        <v>315</v>
      </c>
      <c r="I198" s="72" t="s">
        <v>316</v>
      </c>
    </row>
    <row r="199" spans="1:9" ht="12.75" customHeight="1" x14ac:dyDescent="0.2">
      <c r="A199" s="71">
        <v>206</v>
      </c>
      <c r="B199" s="72" t="s">
        <v>311</v>
      </c>
      <c r="C199" s="73">
        <v>19.251433333333335</v>
      </c>
      <c r="D199" s="74">
        <v>148.83890815411587</v>
      </c>
      <c r="E199" s="73">
        <v>4889.9099462365048</v>
      </c>
      <c r="F199" s="75">
        <v>9.4446388720364691E-2</v>
      </c>
      <c r="G199" s="76">
        <v>0.10776109164554823</v>
      </c>
      <c r="H199" s="72" t="s">
        <v>312</v>
      </c>
      <c r="I199" s="72" t="s">
        <v>313</v>
      </c>
    </row>
    <row r="200" spans="1:9" ht="12.75" customHeight="1" x14ac:dyDescent="0.2">
      <c r="A200" s="71">
        <v>207</v>
      </c>
      <c r="B200" s="72" t="s">
        <v>304</v>
      </c>
      <c r="C200" s="73">
        <v>19.291483333333332</v>
      </c>
      <c r="D200" s="74">
        <v>44.672766666667258</v>
      </c>
      <c r="E200" s="73">
        <v>2573.8286713285779</v>
      </c>
      <c r="F200" s="75">
        <v>2.8347302047159854E-2</v>
      </c>
      <c r="G200" s="76">
        <v>5.6720592072344034E-2</v>
      </c>
      <c r="H200" s="72" t="s">
        <v>23</v>
      </c>
      <c r="I200" s="72" t="s">
        <v>305</v>
      </c>
    </row>
    <row r="201" spans="1:9" ht="12.75" customHeight="1" x14ac:dyDescent="0.2">
      <c r="A201" s="71">
        <v>208</v>
      </c>
      <c r="B201" s="72" t="s">
        <v>311</v>
      </c>
      <c r="C201" s="73">
        <v>19.331533333333333</v>
      </c>
      <c r="D201" s="74">
        <v>31.938174999999546</v>
      </c>
      <c r="E201" s="73">
        <v>1944.1100757134773</v>
      </c>
      <c r="F201" s="75">
        <v>2.0266510474167145E-2</v>
      </c>
      <c r="G201" s="76">
        <v>4.2843207000004969E-2</v>
      </c>
      <c r="H201" s="72" t="s">
        <v>312</v>
      </c>
      <c r="I201" s="72" t="s">
        <v>313</v>
      </c>
    </row>
    <row r="202" spans="1:9" ht="12.75" customHeight="1" x14ac:dyDescent="0.2">
      <c r="A202" s="71">
        <v>209</v>
      </c>
      <c r="B202" s="72" t="s">
        <v>314</v>
      </c>
      <c r="C202" s="73">
        <v>19.377316666666665</v>
      </c>
      <c r="D202" s="74">
        <v>179.50334802589214</v>
      </c>
      <c r="E202" s="73">
        <v>6340.894660194157</v>
      </c>
      <c r="F202" s="75">
        <v>0.113904644924604</v>
      </c>
      <c r="G202" s="76">
        <v>0.13973707861795079</v>
      </c>
      <c r="H202" s="72" t="s">
        <v>315</v>
      </c>
      <c r="I202" s="72" t="s">
        <v>316</v>
      </c>
    </row>
    <row r="203" spans="1:9" ht="12.75" customHeight="1" x14ac:dyDescent="0.2">
      <c r="A203" s="71">
        <v>210</v>
      </c>
      <c r="B203" s="72" t="s">
        <v>311</v>
      </c>
      <c r="C203" s="73">
        <v>19.400200000000002</v>
      </c>
      <c r="D203" s="74">
        <v>71.65476864077732</v>
      </c>
      <c r="E203" s="73">
        <v>4571.4473300971149</v>
      </c>
      <c r="F203" s="75">
        <v>4.5468850965415447E-2</v>
      </c>
      <c r="G203" s="76">
        <v>0.10074299120181912</v>
      </c>
      <c r="H203" s="72" t="s">
        <v>312</v>
      </c>
      <c r="I203" s="72" t="s">
        <v>313</v>
      </c>
    </row>
    <row r="204" spans="1:9" ht="12.75" customHeight="1" x14ac:dyDescent="0.2">
      <c r="A204" s="71">
        <v>211</v>
      </c>
      <c r="B204" s="72" t="s">
        <v>311</v>
      </c>
      <c r="C204" s="73">
        <v>19.457416666666667</v>
      </c>
      <c r="D204" s="74">
        <v>385.37055865928642</v>
      </c>
      <c r="E204" s="73">
        <v>8962.2857142857174</v>
      </c>
      <c r="F204" s="75">
        <v>0.24453859569321612</v>
      </c>
      <c r="G204" s="76">
        <v>0.19750582379416681</v>
      </c>
      <c r="H204" s="72" t="s">
        <v>312</v>
      </c>
      <c r="I204" s="72" t="s">
        <v>313</v>
      </c>
    </row>
    <row r="205" spans="1:9" ht="12.75" customHeight="1" x14ac:dyDescent="0.2">
      <c r="A205" s="71">
        <v>212</v>
      </c>
      <c r="B205" s="72" t="s">
        <v>304</v>
      </c>
      <c r="C205" s="73">
        <v>19.486033333333335</v>
      </c>
      <c r="D205" s="74">
        <v>267.10906634072626</v>
      </c>
      <c r="E205" s="73">
        <v>8009.8316227461837</v>
      </c>
      <c r="F205" s="75">
        <v>0.16949524168927663</v>
      </c>
      <c r="G205" s="76">
        <v>0.1765161749509272</v>
      </c>
      <c r="H205" s="72" t="s">
        <v>23</v>
      </c>
      <c r="I205" s="72" t="s">
        <v>305</v>
      </c>
    </row>
    <row r="206" spans="1:9" ht="12.75" customHeight="1" x14ac:dyDescent="0.2">
      <c r="A206" s="71">
        <v>213</v>
      </c>
      <c r="B206" s="72" t="s">
        <v>311</v>
      </c>
      <c r="C206" s="73">
        <v>19.589016666666666</v>
      </c>
      <c r="D206" s="74">
        <v>63.184216666665861</v>
      </c>
      <c r="E206" s="73">
        <v>4444.3826441467318</v>
      </c>
      <c r="F206" s="75">
        <v>4.0093824674611124E-2</v>
      </c>
      <c r="G206" s="76">
        <v>9.7942810949389211E-2</v>
      </c>
      <c r="H206" s="72" t="s">
        <v>312</v>
      </c>
      <c r="I206" s="72" t="s">
        <v>313</v>
      </c>
    </row>
    <row r="207" spans="1:9" ht="12.75" customHeight="1" x14ac:dyDescent="0.2">
      <c r="A207" s="71">
        <v>214</v>
      </c>
      <c r="B207" s="72" t="s">
        <v>311</v>
      </c>
      <c r="C207" s="73">
        <v>19.640516666666667</v>
      </c>
      <c r="D207" s="74">
        <v>76.643074999999044</v>
      </c>
      <c r="E207" s="73">
        <v>6625.6278392545501</v>
      </c>
      <c r="F207" s="75">
        <v>4.8634202870385695E-2</v>
      </c>
      <c r="G207" s="76">
        <v>0.14601186865306595</v>
      </c>
      <c r="H207" s="72" t="s">
        <v>312</v>
      </c>
      <c r="I207" s="72" t="s">
        <v>313</v>
      </c>
    </row>
    <row r="208" spans="1:9" ht="12.75" customHeight="1" x14ac:dyDescent="0.2">
      <c r="A208" s="71">
        <v>215</v>
      </c>
      <c r="B208" s="72" t="s">
        <v>311</v>
      </c>
      <c r="C208" s="73">
        <v>19.669133333333335</v>
      </c>
      <c r="D208" s="74">
        <v>74.661716666665143</v>
      </c>
      <c r="E208" s="73">
        <v>5263.880023296515</v>
      </c>
      <c r="F208" s="75">
        <v>4.7376923159957958E-2</v>
      </c>
      <c r="G208" s="76">
        <v>0.11600243436756967</v>
      </c>
      <c r="H208" s="72" t="s">
        <v>312</v>
      </c>
      <c r="I208" s="72" t="s">
        <v>313</v>
      </c>
    </row>
    <row r="209" spans="1:9" ht="12.75" customHeight="1" x14ac:dyDescent="0.2">
      <c r="A209" s="71">
        <v>216</v>
      </c>
      <c r="B209" s="72" t="s">
        <v>311</v>
      </c>
      <c r="C209" s="73">
        <v>19.789283333333334</v>
      </c>
      <c r="D209" s="74">
        <v>50.219874999999774</v>
      </c>
      <c r="E209" s="73">
        <v>3078.3162713275233</v>
      </c>
      <c r="F209" s="75">
        <v>3.1867244221026235E-2</v>
      </c>
      <c r="G209" s="76">
        <v>6.7838206730947329E-2</v>
      </c>
      <c r="H209" s="72" t="s">
        <v>312</v>
      </c>
      <c r="I209" s="72" t="s">
        <v>313</v>
      </c>
    </row>
    <row r="210" spans="1:9" ht="12.75" customHeight="1" x14ac:dyDescent="0.2">
      <c r="A210" s="71">
        <v>217</v>
      </c>
      <c r="B210" s="72" t="s">
        <v>311</v>
      </c>
      <c r="C210" s="73">
        <v>19.823616666666666</v>
      </c>
      <c r="D210" s="74">
        <v>37.527941666665356</v>
      </c>
      <c r="E210" s="73">
        <v>2658.4479242534726</v>
      </c>
      <c r="F210" s="75">
        <v>2.3813521682482415E-2</v>
      </c>
      <c r="G210" s="76">
        <v>5.85853836880742E-2</v>
      </c>
      <c r="H210" s="72" t="s">
        <v>312</v>
      </c>
      <c r="I210" s="72" t="s">
        <v>313</v>
      </c>
    </row>
    <row r="211" spans="1:9" ht="12.75" customHeight="1" x14ac:dyDescent="0.2">
      <c r="A211" s="71">
        <v>218</v>
      </c>
      <c r="B211" s="72" t="s">
        <v>311</v>
      </c>
      <c r="C211" s="73">
        <v>19.903733333333335</v>
      </c>
      <c r="D211" s="74">
        <v>554.80994166666824</v>
      </c>
      <c r="E211" s="73">
        <v>10939.051747772428</v>
      </c>
      <c r="F211" s="75">
        <v>0.35205710701878717</v>
      </c>
      <c r="G211" s="76">
        <v>0.24106868446817922</v>
      </c>
      <c r="H211" s="72" t="s">
        <v>312</v>
      </c>
      <c r="I211" s="72" t="s">
        <v>313</v>
      </c>
    </row>
    <row r="212" spans="1:9" ht="12.75" customHeight="1" x14ac:dyDescent="0.2">
      <c r="A212" s="77">
        <v>219</v>
      </c>
      <c r="B212" s="78" t="s">
        <v>311</v>
      </c>
      <c r="C212" s="79">
        <v>19.989566666666668</v>
      </c>
      <c r="D212" s="80">
        <v>157.84316666666018</v>
      </c>
      <c r="E212" s="79">
        <v>7521.6988934169494</v>
      </c>
      <c r="F212" s="81">
        <v>0.10016008086015009</v>
      </c>
      <c r="G212" s="82">
        <v>0.16575897975535436</v>
      </c>
      <c r="H212" s="78" t="s">
        <v>312</v>
      </c>
      <c r="I212" s="78" t="s">
        <v>313</v>
      </c>
    </row>
    <row r="213" spans="1:9" ht="16.5" customHeight="1" x14ac:dyDescent="0.2">
      <c r="A213" s="83" t="s">
        <v>317</v>
      </c>
      <c r="B213" s="84"/>
      <c r="C213" s="85"/>
      <c r="D213" s="86">
        <f>SUM(D44:D212)</f>
        <v>94214.175467918933</v>
      </c>
      <c r="E213" s="86">
        <f>SUM(E44:E212)</f>
        <v>2959789.4328113585</v>
      </c>
      <c r="F213" s="86">
        <f>SUM(F44:F212)</f>
        <v>59.784022535277231</v>
      </c>
      <c r="G213" s="86">
        <f>SUM(I44:I212)</f>
        <v>0</v>
      </c>
      <c r="H213" s="87"/>
      <c r="I213" s="41"/>
    </row>
  </sheetData>
  <mergeCells count="1">
    <mergeCell ref="A1:H1"/>
  </mergeCells>
  <pageMargins left="0.77986109999999997" right="0.49027779999999999" top="0.97986110000000004" bottom="0.77986109999999997" header="0.49652780000000002" footer="0.49652780000000002"/>
  <pageSetup fitToHeight="8" orientation="portrait"/>
  <headerFooter alignWithMargins="0">
    <oddHeader>&amp;L&amp;08&amp;"Microsoft Sans Serif"Instrument:
Sequence:forest_4hr.AIA&amp;R&amp;08&amp;"Microsoft Sans Serif"Page &amp;P of &amp;N</oddHeader>
    <oddFooter>&amp;L&amp;08&amp;"Microsoft Sans Serif"Default/&amp;A &amp;R&amp;08&amp;"Microsoft Sans Serif"© 2009-2023 Thermo Fisher Scientific Inc. All rights reserved.
Chromeleon 7.3.2.10759</oddFooter>
    <evenHeader>&amp;L&amp;08&amp;"Microsoft Sans Serif"Instrument:
Sequence:forest_4hr.AIA&amp;R&amp;08&amp;"Microsoft Sans Serif"Page &amp;P of &amp;N</evenHeader>
    <evenFooter>&amp;L&amp;08&amp;"Microsoft Sans Serif"Default/&amp;A &amp;R&amp;08&amp;"Microsoft Sans Serif"© 2009-2023 Thermo Fisher Scientific Inc. All rights reserved.
Chromeleon 7.3.2.10759</even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D89C7-B16E-4BB4-B035-1DDBA7941D59}">
  <dimension ref="A1:J213"/>
  <sheetViews>
    <sheetView topLeftCell="A175" workbookViewId="0">
      <selection activeCell="A40" sqref="A40:I213"/>
    </sheetView>
  </sheetViews>
  <sheetFormatPr defaultColWidth="9.140625" defaultRowHeight="12.75" x14ac:dyDescent="0.2"/>
  <cols>
    <col min="1" max="1" width="5.85546875" customWidth="1"/>
    <col min="2" max="2" width="21.140625" customWidth="1"/>
    <col min="3" max="3" width="15.42578125" customWidth="1"/>
    <col min="4" max="4" width="14.85546875" customWidth="1"/>
    <col min="5" max="5" width="13.140625" customWidth="1"/>
    <col min="6" max="6" width="15.42578125" customWidth="1"/>
    <col min="7" max="7" width="14.7109375" customWidth="1"/>
    <col min="8" max="8" width="14.5703125" customWidth="1"/>
    <col min="9" max="9" width="15.85546875" customWidth="1"/>
  </cols>
  <sheetData>
    <row r="1" spans="1:8" ht="21" x14ac:dyDescent="0.2">
      <c r="A1" s="237" t="s">
        <v>37</v>
      </c>
      <c r="B1" s="238"/>
      <c r="C1" s="238"/>
      <c r="D1" s="238"/>
      <c r="E1" s="238"/>
      <c r="F1" s="238"/>
      <c r="G1" s="238"/>
      <c r="H1" s="239"/>
    </row>
    <row r="2" spans="1:8" s="1" customFormat="1" ht="12.75" customHeight="1" x14ac:dyDescent="0.2">
      <c r="A2" s="5"/>
      <c r="B2" s="6"/>
      <c r="C2" s="6"/>
      <c r="D2" s="6"/>
      <c r="E2" s="6"/>
      <c r="F2" s="6"/>
      <c r="G2" s="6"/>
      <c r="H2" s="7"/>
    </row>
    <row r="3" spans="1:8" s="1" customFormat="1" ht="15.75" x14ac:dyDescent="0.2">
      <c r="A3" s="8" t="s">
        <v>15</v>
      </c>
      <c r="B3" s="9"/>
      <c r="C3" s="9"/>
      <c r="D3" s="9"/>
      <c r="E3" s="9"/>
      <c r="F3" s="9"/>
      <c r="G3" s="42"/>
      <c r="H3" s="43"/>
    </row>
    <row r="4" spans="1:8" s="2" customFormat="1" ht="12.75" customHeight="1" x14ac:dyDescent="0.2">
      <c r="A4" s="11" t="s">
        <v>38</v>
      </c>
      <c r="B4" s="12"/>
      <c r="C4" s="13" t="s">
        <v>39</v>
      </c>
      <c r="D4" s="14"/>
      <c r="E4" s="14"/>
      <c r="F4" s="12" t="s">
        <v>40</v>
      </c>
      <c r="G4" s="16">
        <v>25.23961666666667</v>
      </c>
      <c r="H4" s="44"/>
    </row>
    <row r="5" spans="1:8" s="1" customFormat="1" ht="12.75" customHeight="1" x14ac:dyDescent="0.2">
      <c r="A5" s="17" t="s">
        <v>41</v>
      </c>
      <c r="B5" s="18"/>
      <c r="C5" s="19" t="s">
        <v>23</v>
      </c>
      <c r="D5" s="2"/>
      <c r="E5" s="2"/>
      <c r="F5" s="18" t="s">
        <v>42</v>
      </c>
      <c r="G5" s="16">
        <v>1</v>
      </c>
      <c r="H5" s="44"/>
    </row>
    <row r="6" spans="1:8" s="1" customFormat="1" ht="12.75" customHeight="1" x14ac:dyDescent="0.2">
      <c r="A6" s="17" t="s">
        <v>43</v>
      </c>
      <c r="B6" s="18"/>
      <c r="C6" s="19" t="s">
        <v>36</v>
      </c>
      <c r="D6" s="2"/>
      <c r="E6" s="2"/>
      <c r="F6" s="18" t="s">
        <v>44</v>
      </c>
      <c r="G6" s="19" t="s">
        <v>45</v>
      </c>
      <c r="H6" s="20"/>
    </row>
    <row r="7" spans="1:8" s="1" customFormat="1" ht="12.75" customHeight="1" x14ac:dyDescent="0.2">
      <c r="A7" s="17" t="s">
        <v>46</v>
      </c>
      <c r="B7" s="18"/>
      <c r="C7" s="19" t="s">
        <v>23</v>
      </c>
      <c r="D7" s="2"/>
      <c r="E7" s="2"/>
      <c r="F7" s="18" t="s">
        <v>47</v>
      </c>
      <c r="G7" s="19" t="s">
        <v>48</v>
      </c>
      <c r="H7" s="45"/>
    </row>
    <row r="8" spans="1:8" s="1" customFormat="1" ht="12.75" customHeight="1" x14ac:dyDescent="0.2">
      <c r="A8" s="17" t="s">
        <v>49</v>
      </c>
      <c r="B8" s="18"/>
      <c r="C8" s="19" t="s">
        <v>23</v>
      </c>
      <c r="D8" s="2"/>
      <c r="E8" s="2"/>
      <c r="F8" s="18" t="s">
        <v>50</v>
      </c>
      <c r="G8" s="19" t="s">
        <v>48</v>
      </c>
      <c r="H8" s="20"/>
    </row>
    <row r="9" spans="1:8" s="1" customFormat="1" ht="12.75" customHeight="1" x14ac:dyDescent="0.2">
      <c r="A9" s="17" t="s">
        <v>51</v>
      </c>
      <c r="B9" s="18"/>
      <c r="C9" s="19" t="s">
        <v>52</v>
      </c>
      <c r="D9" s="2"/>
      <c r="E9" s="2"/>
      <c r="F9" s="18" t="s">
        <v>53</v>
      </c>
      <c r="G9" s="46">
        <v>1</v>
      </c>
      <c r="H9" s="47"/>
    </row>
    <row r="10" spans="1:8" s="2" customFormat="1" ht="12.75" customHeight="1" x14ac:dyDescent="0.2">
      <c r="A10" s="22" t="s">
        <v>54</v>
      </c>
      <c r="B10" s="23"/>
      <c r="C10" s="48">
        <v>46286.988888888889</v>
      </c>
      <c r="D10" s="25"/>
      <c r="E10" s="25"/>
      <c r="F10" s="23" t="s">
        <v>55</v>
      </c>
      <c r="G10" s="49">
        <v>1</v>
      </c>
      <c r="H10" s="50"/>
    </row>
    <row r="11" spans="1:8" s="2" customFormat="1" ht="12.75" customHeight="1" x14ac:dyDescent="0.2">
      <c r="A11" s="18"/>
      <c r="B11" s="18"/>
      <c r="C11" s="51"/>
      <c r="F11" s="18"/>
      <c r="G11" s="18"/>
      <c r="H11" s="46"/>
    </row>
    <row r="12" spans="1:8" s="2" customFormat="1" ht="12.75" customHeight="1" x14ac:dyDescent="0.2">
      <c r="A12" s="29" t="s">
        <v>56</v>
      </c>
      <c r="B12" s="30"/>
      <c r="C12" s="30"/>
      <c r="D12" s="30"/>
      <c r="E12" s="30"/>
      <c r="F12" s="30"/>
      <c r="G12" s="30"/>
      <c r="H12" s="31"/>
    </row>
    <row r="13" spans="1:8" s="2" customFormat="1" ht="12.75" customHeight="1" x14ac:dyDescent="0.2">
      <c r="A13"/>
      <c r="B13"/>
      <c r="C13"/>
      <c r="D13"/>
      <c r="E13"/>
      <c r="F13"/>
      <c r="G13"/>
      <c r="H13"/>
    </row>
    <row r="14" spans="1:8" ht="12.75" customHeight="1" x14ac:dyDescent="0.2"/>
    <row r="15" spans="1:8" ht="12.75" customHeight="1" x14ac:dyDescent="0.2"/>
    <row r="16" spans="1:8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spans="1:10" ht="12.75" customHeight="1" x14ac:dyDescent="0.2"/>
    <row r="34" spans="1:10" ht="12.75" customHeight="1" x14ac:dyDescent="0.2"/>
    <row r="35" spans="1:10" ht="12.75" customHeight="1" x14ac:dyDescent="0.2"/>
    <row r="36" spans="1:10" ht="12.75" customHeight="1" x14ac:dyDescent="0.2"/>
    <row r="37" spans="1:10" ht="12.75" customHeight="1" x14ac:dyDescent="0.2"/>
    <row r="38" spans="1:10" ht="12.75" customHeight="1" x14ac:dyDescent="0.2"/>
    <row r="40" spans="1:10" ht="15.75" x14ac:dyDescent="0.2">
      <c r="A40" s="52" t="s">
        <v>57</v>
      </c>
      <c r="B40" s="53"/>
      <c r="C40" s="53"/>
      <c r="D40" s="53"/>
      <c r="E40" s="53"/>
      <c r="F40" s="53"/>
      <c r="G40" s="53"/>
      <c r="H40" s="54"/>
    </row>
    <row r="41" spans="1:10" ht="12.75" customHeight="1" x14ac:dyDescent="0.2">
      <c r="A41" s="55" t="s">
        <v>58</v>
      </c>
      <c r="B41" s="56" t="s">
        <v>59</v>
      </c>
      <c r="C41" s="57" t="s">
        <v>60</v>
      </c>
      <c r="D41" s="57" t="s">
        <v>61</v>
      </c>
      <c r="E41" s="57" t="s">
        <v>62</v>
      </c>
      <c r="F41" s="57" t="s">
        <v>63</v>
      </c>
      <c r="G41" s="57" t="s">
        <v>64</v>
      </c>
      <c r="H41" s="57" t="s">
        <v>65</v>
      </c>
      <c r="I41" s="57" t="s">
        <v>66</v>
      </c>
      <c r="J41" s="58"/>
    </row>
    <row r="42" spans="1:10" ht="12.75" customHeight="1" x14ac:dyDescent="0.2">
      <c r="A42" s="59" t="s">
        <v>23</v>
      </c>
      <c r="B42" s="60" t="s">
        <v>23</v>
      </c>
      <c r="C42" s="61" t="s">
        <v>67</v>
      </c>
      <c r="D42" s="61" t="s">
        <v>68</v>
      </c>
      <c r="E42" s="61" t="s">
        <v>69</v>
      </c>
      <c r="F42" s="61" t="s">
        <v>70</v>
      </c>
      <c r="G42" s="61" t="s">
        <v>70</v>
      </c>
      <c r="H42" s="61" t="s">
        <v>23</v>
      </c>
      <c r="I42" s="61" t="s">
        <v>23</v>
      </c>
      <c r="J42" s="58"/>
    </row>
    <row r="43" spans="1:10" ht="12.75" hidden="1" customHeight="1" x14ac:dyDescent="0.2">
      <c r="A43" s="62" t="s">
        <v>45</v>
      </c>
      <c r="B43" s="63" t="s">
        <v>45</v>
      </c>
      <c r="C43" s="64" t="s">
        <v>45</v>
      </c>
      <c r="D43" s="64" t="s">
        <v>45</v>
      </c>
      <c r="E43" s="64" t="s">
        <v>45</v>
      </c>
      <c r="F43" s="64" t="s">
        <v>45</v>
      </c>
      <c r="G43" s="64" t="s">
        <v>45</v>
      </c>
      <c r="H43" s="64" t="s">
        <v>45</v>
      </c>
      <c r="I43" s="64" t="s">
        <v>45</v>
      </c>
      <c r="J43" s="58"/>
    </row>
    <row r="44" spans="1:10" ht="12.75" customHeight="1" x14ac:dyDescent="0.2">
      <c r="A44" s="65">
        <v>1</v>
      </c>
      <c r="B44" s="66" t="s">
        <v>71</v>
      </c>
      <c r="C44" s="67">
        <v>3.1211833333333332</v>
      </c>
      <c r="D44" s="68">
        <v>17.094850000000179</v>
      </c>
      <c r="E44" s="67">
        <v>1873.8378640776609</v>
      </c>
      <c r="F44" s="69">
        <v>1.0847612820060155E-2</v>
      </c>
      <c r="G44" s="70">
        <v>4.1294587430016613E-2</v>
      </c>
      <c r="H44" s="66" t="s">
        <v>72</v>
      </c>
      <c r="I44" s="66" t="s">
        <v>73</v>
      </c>
    </row>
    <row r="45" spans="1:10" ht="12.75" customHeight="1" x14ac:dyDescent="0.2">
      <c r="A45" s="71">
        <v>2</v>
      </c>
      <c r="B45" s="72" t="s">
        <v>74</v>
      </c>
      <c r="C45" s="73">
        <v>3.1726833333333335</v>
      </c>
      <c r="D45" s="74">
        <v>402.88680853685992</v>
      </c>
      <c r="E45" s="73">
        <v>2400.081111360083</v>
      </c>
      <c r="F45" s="75">
        <v>0.25565360967294343</v>
      </c>
      <c r="G45" s="76">
        <v>5.2891640836265415E-2</v>
      </c>
      <c r="H45" s="72" t="s">
        <v>75</v>
      </c>
      <c r="I45" s="72" t="s">
        <v>76</v>
      </c>
    </row>
    <row r="46" spans="1:10" ht="12.75" customHeight="1" x14ac:dyDescent="0.2">
      <c r="A46" s="71">
        <v>3</v>
      </c>
      <c r="B46" s="72" t="s">
        <v>77</v>
      </c>
      <c r="C46" s="73">
        <v>3.3042833333333332</v>
      </c>
      <c r="D46" s="74">
        <v>35.565433129808241</v>
      </c>
      <c r="E46" s="73">
        <v>2317.6013892000919</v>
      </c>
      <c r="F46" s="75">
        <v>2.2568203193938294E-2</v>
      </c>
      <c r="G46" s="76">
        <v>5.1073998999032234E-2</v>
      </c>
      <c r="H46" s="72" t="s">
        <v>78</v>
      </c>
      <c r="I46" s="72" t="s">
        <v>79</v>
      </c>
    </row>
    <row r="47" spans="1:10" ht="12.75" customHeight="1" x14ac:dyDescent="0.2">
      <c r="A47" s="71">
        <v>4</v>
      </c>
      <c r="B47" s="72" t="s">
        <v>74</v>
      </c>
      <c r="C47" s="73">
        <v>3.3386166666666668</v>
      </c>
      <c r="D47" s="74">
        <v>63.42780833333245</v>
      </c>
      <c r="E47" s="73">
        <v>2068.906796116491</v>
      </c>
      <c r="F47" s="75">
        <v>4.0248396846124315E-2</v>
      </c>
      <c r="G47" s="76">
        <v>4.5593407100267221E-2</v>
      </c>
      <c r="H47" s="72" t="s">
        <v>75</v>
      </c>
      <c r="I47" s="72" t="s">
        <v>76</v>
      </c>
    </row>
    <row r="48" spans="1:10" ht="12.75" customHeight="1" x14ac:dyDescent="0.2">
      <c r="A48" s="71">
        <v>6</v>
      </c>
      <c r="B48" s="72" t="s">
        <v>77</v>
      </c>
      <c r="C48" s="73">
        <v>3.516</v>
      </c>
      <c r="D48" s="74">
        <v>83.042333333333431</v>
      </c>
      <c r="E48" s="73">
        <v>2273.2254089177641</v>
      </c>
      <c r="F48" s="75">
        <v>5.2694880602893096E-2</v>
      </c>
      <c r="G48" s="76">
        <v>5.0096066045124683E-2</v>
      </c>
      <c r="H48" s="72" t="s">
        <v>78</v>
      </c>
      <c r="I48" s="72" t="s">
        <v>79</v>
      </c>
    </row>
    <row r="49" spans="1:9" ht="12.75" customHeight="1" x14ac:dyDescent="0.2">
      <c r="A49" s="71">
        <v>7</v>
      </c>
      <c r="B49" s="72" t="s">
        <v>77</v>
      </c>
      <c r="C49" s="73">
        <v>3.6018333333333334</v>
      </c>
      <c r="D49" s="74">
        <v>11.859966666666907</v>
      </c>
      <c r="E49" s="73">
        <v>1585.9728155339808</v>
      </c>
      <c r="F49" s="75">
        <v>7.5257944035086993E-3</v>
      </c>
      <c r="G49" s="76">
        <v>3.495077901253428E-2</v>
      </c>
      <c r="H49" s="72" t="s">
        <v>78</v>
      </c>
      <c r="I49" s="72" t="s">
        <v>79</v>
      </c>
    </row>
    <row r="50" spans="1:9" ht="12.75" customHeight="1" x14ac:dyDescent="0.2">
      <c r="A50" s="71">
        <v>8</v>
      </c>
      <c r="B50" s="72" t="s">
        <v>77</v>
      </c>
      <c r="C50" s="73">
        <v>3.6762166666666669</v>
      </c>
      <c r="D50" s="74">
        <v>15.580466666666609</v>
      </c>
      <c r="E50" s="73">
        <v>1237.6402039329987</v>
      </c>
      <c r="F50" s="75">
        <v>9.8866541651930762E-3</v>
      </c>
      <c r="G50" s="76">
        <v>2.7274420369006187E-2</v>
      </c>
      <c r="H50" s="72" t="s">
        <v>78</v>
      </c>
      <c r="I50" s="72" t="s">
        <v>79</v>
      </c>
    </row>
    <row r="51" spans="1:9" ht="12.75" customHeight="1" x14ac:dyDescent="0.2">
      <c r="A51" s="71">
        <v>9</v>
      </c>
      <c r="B51" s="72" t="s">
        <v>80</v>
      </c>
      <c r="C51" s="73">
        <v>3.859316666666667</v>
      </c>
      <c r="D51" s="74">
        <v>155.4701</v>
      </c>
      <c r="E51" s="73">
        <v>2713.9112557820772</v>
      </c>
      <c r="F51" s="75">
        <v>9.865424089102956E-2</v>
      </c>
      <c r="G51" s="76">
        <v>5.9807653467586479E-2</v>
      </c>
      <c r="H51" s="72" t="s">
        <v>23</v>
      </c>
      <c r="I51" s="72" t="s">
        <v>81</v>
      </c>
    </row>
    <row r="52" spans="1:9" ht="12.75" customHeight="1" x14ac:dyDescent="0.2">
      <c r="A52" s="71">
        <v>10</v>
      </c>
      <c r="B52" s="72" t="s">
        <v>82</v>
      </c>
      <c r="C52" s="73">
        <v>4.0710333333333333</v>
      </c>
      <c r="D52" s="74">
        <v>18.955224999999842</v>
      </c>
      <c r="E52" s="73">
        <v>894.26591760299652</v>
      </c>
      <c r="F52" s="75">
        <v>1.2028122020206138E-2</v>
      </c>
      <c r="G52" s="76">
        <v>1.9707330515662203E-2</v>
      </c>
      <c r="H52" s="72" t="s">
        <v>83</v>
      </c>
      <c r="I52" s="72" t="s">
        <v>84</v>
      </c>
    </row>
    <row r="53" spans="1:9" ht="12.75" customHeight="1" x14ac:dyDescent="0.2">
      <c r="A53" s="71">
        <v>12</v>
      </c>
      <c r="B53" s="72" t="s">
        <v>85</v>
      </c>
      <c r="C53" s="73">
        <v>4.2484166666666665</v>
      </c>
      <c r="D53" s="74">
        <v>12.35440000000014</v>
      </c>
      <c r="E53" s="73">
        <v>852.9208737864094</v>
      </c>
      <c r="F53" s="75">
        <v>7.8395392661621075E-3</v>
      </c>
      <c r="G53" s="76">
        <v>1.8796191638915091E-2</v>
      </c>
      <c r="H53" s="72" t="s">
        <v>23</v>
      </c>
      <c r="I53" s="72" t="s">
        <v>86</v>
      </c>
    </row>
    <row r="54" spans="1:9" ht="12.75" customHeight="1" x14ac:dyDescent="0.2">
      <c r="A54" s="71">
        <v>13</v>
      </c>
      <c r="B54" s="72" t="s">
        <v>87</v>
      </c>
      <c r="C54" s="73">
        <v>4.5516833333333331</v>
      </c>
      <c r="D54" s="74">
        <v>21.898733333333254</v>
      </c>
      <c r="E54" s="73">
        <v>465.99063670411761</v>
      </c>
      <c r="F54" s="75">
        <v>1.3895938276717371E-2</v>
      </c>
      <c r="G54" s="76">
        <v>1.0269240182324427E-2</v>
      </c>
      <c r="H54" s="72" t="s">
        <v>23</v>
      </c>
      <c r="I54" s="72" t="s">
        <v>88</v>
      </c>
    </row>
    <row r="55" spans="1:9" ht="12.75" customHeight="1" x14ac:dyDescent="0.2">
      <c r="A55" s="71">
        <v>16</v>
      </c>
      <c r="B55" s="72" t="s">
        <v>89</v>
      </c>
      <c r="C55" s="73">
        <v>5.1868166666666671</v>
      </c>
      <c r="D55" s="74">
        <v>670.09424327594627</v>
      </c>
      <c r="E55" s="73">
        <v>8033.8527084601337</v>
      </c>
      <c r="F55" s="75">
        <v>0.42521127146530019</v>
      </c>
      <c r="G55" s="76">
        <v>0.17704553815955615</v>
      </c>
      <c r="H55" s="72" t="s">
        <v>23</v>
      </c>
      <c r="I55" s="72" t="s">
        <v>90</v>
      </c>
    </row>
    <row r="56" spans="1:9" ht="12.75" customHeight="1" x14ac:dyDescent="0.2">
      <c r="A56" s="71">
        <v>17</v>
      </c>
      <c r="B56" s="72" t="s">
        <v>91</v>
      </c>
      <c r="C56" s="73">
        <v>5.2154333333333334</v>
      </c>
      <c r="D56" s="74">
        <v>237.79912678969907</v>
      </c>
      <c r="E56" s="73">
        <v>6740.7292409355705</v>
      </c>
      <c r="F56" s="75">
        <v>0.15089648966577787</v>
      </c>
      <c r="G56" s="76">
        <v>0.14854840875941816</v>
      </c>
      <c r="H56" s="72" t="s">
        <v>92</v>
      </c>
      <c r="I56" s="72" t="s">
        <v>93</v>
      </c>
    </row>
    <row r="57" spans="1:9" ht="12.75" customHeight="1" x14ac:dyDescent="0.2">
      <c r="A57" s="71">
        <v>19</v>
      </c>
      <c r="B57" s="72" t="s">
        <v>89</v>
      </c>
      <c r="C57" s="73">
        <v>5.3184333333333331</v>
      </c>
      <c r="D57" s="74">
        <v>283.42351287641554</v>
      </c>
      <c r="E57" s="73">
        <v>5079.6960264324844</v>
      </c>
      <c r="F57" s="75">
        <v>0.17984764603284953</v>
      </c>
      <c r="G57" s="76">
        <v>0.11194349079111711</v>
      </c>
      <c r="H57" s="72" t="s">
        <v>23</v>
      </c>
      <c r="I57" s="72" t="s">
        <v>90</v>
      </c>
    </row>
    <row r="58" spans="1:9" ht="12.75" customHeight="1" x14ac:dyDescent="0.2">
      <c r="A58" s="71">
        <v>20</v>
      </c>
      <c r="B58" s="72" t="s">
        <v>89</v>
      </c>
      <c r="C58" s="73">
        <v>5.3642000000000003</v>
      </c>
      <c r="D58" s="74">
        <v>141.75371010201965</v>
      </c>
      <c r="E58" s="73">
        <v>3361.9097469785238</v>
      </c>
      <c r="F58" s="75">
        <v>8.9950444899706231E-2</v>
      </c>
      <c r="G58" s="76">
        <v>7.40878806218188E-2</v>
      </c>
      <c r="H58" s="72" t="s">
        <v>23</v>
      </c>
      <c r="I58" s="72" t="s">
        <v>90</v>
      </c>
    </row>
    <row r="59" spans="1:9" ht="12.75" customHeight="1" x14ac:dyDescent="0.2">
      <c r="A59" s="71">
        <v>24</v>
      </c>
      <c r="B59" s="72" t="s">
        <v>94</v>
      </c>
      <c r="C59" s="73">
        <v>6.6459166666666665</v>
      </c>
      <c r="D59" s="74">
        <v>12.313216666666678</v>
      </c>
      <c r="E59" s="73">
        <v>526.29902912621185</v>
      </c>
      <c r="F59" s="75">
        <v>7.8134061994992905E-3</v>
      </c>
      <c r="G59" s="76">
        <v>1.1598282695222813E-2</v>
      </c>
      <c r="H59" s="72" t="s">
        <v>23</v>
      </c>
      <c r="I59" s="72" t="s">
        <v>95</v>
      </c>
    </row>
    <row r="60" spans="1:9" ht="12.75" customHeight="1" x14ac:dyDescent="0.2">
      <c r="A60" s="71">
        <v>25</v>
      </c>
      <c r="B60" s="72" t="s">
        <v>96</v>
      </c>
      <c r="C60" s="73">
        <v>6.8976833333333332</v>
      </c>
      <c r="D60" s="74">
        <v>189.16676666666515</v>
      </c>
      <c r="E60" s="73">
        <v>5527.4496067579375</v>
      </c>
      <c r="F60" s="75">
        <v>0.12003661004469905</v>
      </c>
      <c r="G60" s="76">
        <v>0.1218108329578597</v>
      </c>
      <c r="H60" s="72" t="s">
        <v>23</v>
      </c>
      <c r="I60" s="72" t="s">
        <v>97</v>
      </c>
    </row>
    <row r="61" spans="1:9" ht="12.75" customHeight="1" x14ac:dyDescent="0.2">
      <c r="A61" s="71">
        <v>26</v>
      </c>
      <c r="B61" s="72" t="s">
        <v>98</v>
      </c>
      <c r="C61" s="73">
        <v>7.0006833333333338</v>
      </c>
      <c r="D61" s="74">
        <v>11.723116666666698</v>
      </c>
      <c r="E61" s="73">
        <v>692.56762380357941</v>
      </c>
      <c r="F61" s="75">
        <v>7.4389556295839506E-3</v>
      </c>
      <c r="G61" s="76">
        <v>1.5262416690695323E-2</v>
      </c>
      <c r="H61" s="72" t="s">
        <v>23</v>
      </c>
      <c r="I61" s="72" t="s">
        <v>99</v>
      </c>
    </row>
    <row r="62" spans="1:9" ht="12.75" customHeight="1" x14ac:dyDescent="0.2">
      <c r="A62" s="71">
        <v>27</v>
      </c>
      <c r="B62" s="72" t="s">
        <v>100</v>
      </c>
      <c r="C62" s="73">
        <v>7.1093999999999999</v>
      </c>
      <c r="D62" s="74">
        <v>18.35553333333349</v>
      </c>
      <c r="E62" s="73">
        <v>639.64062499999943</v>
      </c>
      <c r="F62" s="75">
        <v>1.1647585015704016E-2</v>
      </c>
      <c r="G62" s="76">
        <v>1.4096041188629879E-2</v>
      </c>
      <c r="H62" s="72" t="s">
        <v>23</v>
      </c>
      <c r="I62" s="72" t="s">
        <v>101</v>
      </c>
    </row>
    <row r="63" spans="1:9" ht="12.75" customHeight="1" x14ac:dyDescent="0.2">
      <c r="A63" s="71">
        <v>28</v>
      </c>
      <c r="B63" s="72" t="s">
        <v>102</v>
      </c>
      <c r="C63" s="73">
        <v>7.3096666666666668</v>
      </c>
      <c r="D63" s="74">
        <v>56.250300000000109</v>
      </c>
      <c r="E63" s="73">
        <v>2237</v>
      </c>
      <c r="F63" s="75">
        <v>3.5693877127452096E-2</v>
      </c>
      <c r="G63" s="76">
        <v>4.929775080962856E-2</v>
      </c>
      <c r="H63" s="72" t="s">
        <v>23</v>
      </c>
      <c r="I63" s="72" t="s">
        <v>103</v>
      </c>
    </row>
    <row r="64" spans="1:9" ht="12.75" customHeight="1" x14ac:dyDescent="0.2">
      <c r="A64" s="71">
        <v>29</v>
      </c>
      <c r="B64" s="72" t="s">
        <v>104</v>
      </c>
      <c r="C64" s="73">
        <v>7.567166666666667</v>
      </c>
      <c r="D64" s="74">
        <v>355.40056963666848</v>
      </c>
      <c r="E64" s="73">
        <v>4751.3716667503631</v>
      </c>
      <c r="F64" s="75">
        <v>0.22552100635263644</v>
      </c>
      <c r="G64" s="76">
        <v>0.10470806277666021</v>
      </c>
      <c r="H64" s="72" t="s">
        <v>105</v>
      </c>
      <c r="I64" s="72" t="s">
        <v>106</v>
      </c>
    </row>
    <row r="65" spans="1:9" ht="12.75" customHeight="1" x14ac:dyDescent="0.2">
      <c r="A65" s="71">
        <v>30</v>
      </c>
      <c r="B65" s="72" t="s">
        <v>107</v>
      </c>
      <c r="C65" s="73">
        <v>7.6816000000000004</v>
      </c>
      <c r="D65" s="74">
        <v>213.50855057667587</v>
      </c>
      <c r="E65" s="73">
        <v>2485.6669512378839</v>
      </c>
      <c r="F65" s="75">
        <v>0.13548279689075873</v>
      </c>
      <c r="G65" s="76">
        <v>5.4777733552907625E-2</v>
      </c>
      <c r="H65" s="72" t="s">
        <v>23</v>
      </c>
      <c r="I65" s="72" t="s">
        <v>108</v>
      </c>
    </row>
    <row r="66" spans="1:9" ht="12.75" customHeight="1" x14ac:dyDescent="0.2">
      <c r="A66" s="71">
        <v>31</v>
      </c>
      <c r="B66" s="72" t="s">
        <v>109</v>
      </c>
      <c r="C66" s="73">
        <v>7.8017666666666665</v>
      </c>
      <c r="D66" s="74">
        <v>69.446263119988771</v>
      </c>
      <c r="E66" s="73">
        <v>1256.8523577562405</v>
      </c>
      <c r="F66" s="75">
        <v>4.406743400062902E-2</v>
      </c>
      <c r="G66" s="76">
        <v>2.7697807034940219E-2</v>
      </c>
      <c r="H66" s="72" t="s">
        <v>110</v>
      </c>
      <c r="I66" s="72" t="s">
        <v>111</v>
      </c>
    </row>
    <row r="67" spans="1:9" ht="12.75" customHeight="1" x14ac:dyDescent="0.2">
      <c r="A67" s="71">
        <v>32</v>
      </c>
      <c r="B67" s="72" t="s">
        <v>109</v>
      </c>
      <c r="C67" s="73">
        <v>7.8818666666666672</v>
      </c>
      <c r="D67" s="74">
        <v>17.727883333333622</v>
      </c>
      <c r="E67" s="73">
        <v>748.15890183028773</v>
      </c>
      <c r="F67" s="75">
        <v>1.1249306926893103E-2</v>
      </c>
      <c r="G67" s="76">
        <v>1.6487506083341475E-2</v>
      </c>
      <c r="H67" s="72" t="s">
        <v>110</v>
      </c>
      <c r="I67" s="72" t="s">
        <v>111</v>
      </c>
    </row>
    <row r="68" spans="1:9" ht="12.75" customHeight="1" x14ac:dyDescent="0.2">
      <c r="A68" s="71">
        <v>33</v>
      </c>
      <c r="B68" s="72" t="s">
        <v>112</v>
      </c>
      <c r="C68" s="73">
        <v>8.0134666666666661</v>
      </c>
      <c r="D68" s="74">
        <v>13.773941666666772</v>
      </c>
      <c r="E68" s="73">
        <v>812.86525855789944</v>
      </c>
      <c r="F68" s="75">
        <v>8.7403157211729636E-3</v>
      </c>
      <c r="G68" s="76">
        <v>1.7913468465888073E-2</v>
      </c>
      <c r="H68" s="72" t="s">
        <v>113</v>
      </c>
      <c r="I68" s="72" t="s">
        <v>114</v>
      </c>
    </row>
    <row r="69" spans="1:9" ht="12.75" customHeight="1" x14ac:dyDescent="0.2">
      <c r="A69" s="71">
        <v>34</v>
      </c>
      <c r="B69" s="72" t="s">
        <v>115</v>
      </c>
      <c r="C69" s="73">
        <v>8.0707000000000004</v>
      </c>
      <c r="D69" s="74">
        <v>14.771316666666561</v>
      </c>
      <c r="E69" s="73">
        <v>1112.2269902912626</v>
      </c>
      <c r="F69" s="75">
        <v>9.3732044470994907E-3</v>
      </c>
      <c r="G69" s="76">
        <v>2.4510634336665994E-2</v>
      </c>
      <c r="H69" s="72" t="s">
        <v>23</v>
      </c>
      <c r="I69" s="72" t="s">
        <v>116</v>
      </c>
    </row>
    <row r="70" spans="1:9" ht="12.75" customHeight="1" x14ac:dyDescent="0.2">
      <c r="A70" s="71">
        <v>35</v>
      </c>
      <c r="B70" s="72" t="s">
        <v>115</v>
      </c>
      <c r="C70" s="73">
        <v>8.122183333333334</v>
      </c>
      <c r="D70" s="74">
        <v>36.271058333334359</v>
      </c>
      <c r="E70" s="73">
        <v>1885.546019417475</v>
      </c>
      <c r="F70" s="75">
        <v>2.3015960793678996E-2</v>
      </c>
      <c r="G70" s="76">
        <v>4.1552605187898856E-2</v>
      </c>
      <c r="H70" s="72" t="s">
        <v>23</v>
      </c>
      <c r="I70" s="72" t="s">
        <v>116</v>
      </c>
    </row>
    <row r="71" spans="1:9" ht="12.75" customHeight="1" x14ac:dyDescent="0.2">
      <c r="A71" s="71">
        <v>36</v>
      </c>
      <c r="B71" s="72" t="s">
        <v>117</v>
      </c>
      <c r="C71" s="73">
        <v>8.1794166666666666</v>
      </c>
      <c r="D71" s="74">
        <v>28.248208333332698</v>
      </c>
      <c r="E71" s="73">
        <v>1547.5132872224249</v>
      </c>
      <c r="F71" s="75">
        <v>1.792502577445176E-2</v>
      </c>
      <c r="G71" s="76">
        <v>3.4103229507411827E-2</v>
      </c>
      <c r="H71" s="72" t="s">
        <v>118</v>
      </c>
      <c r="I71" s="72" t="s">
        <v>119</v>
      </c>
    </row>
    <row r="72" spans="1:9" ht="12.75" customHeight="1" x14ac:dyDescent="0.2">
      <c r="A72" s="71">
        <v>38</v>
      </c>
      <c r="B72" s="72" t="s">
        <v>120</v>
      </c>
      <c r="C72" s="73">
        <v>8.3625166666666662</v>
      </c>
      <c r="D72" s="74">
        <v>52.296000000002152</v>
      </c>
      <c r="E72" s="73">
        <v>2064.4999999999914</v>
      </c>
      <c r="F72" s="75">
        <v>3.3184658539728823E-2</v>
      </c>
      <c r="G72" s="76">
        <v>4.5496292600124152E-2</v>
      </c>
      <c r="H72" s="72" t="s">
        <v>121</v>
      </c>
      <c r="I72" s="72" t="s">
        <v>122</v>
      </c>
    </row>
    <row r="73" spans="1:9" ht="12.75" customHeight="1" x14ac:dyDescent="0.2">
      <c r="A73" s="71">
        <v>39</v>
      </c>
      <c r="B73" s="72" t="s">
        <v>123</v>
      </c>
      <c r="C73" s="73">
        <v>8.4254499999999997</v>
      </c>
      <c r="D73" s="74">
        <v>16.954716666666425</v>
      </c>
      <c r="E73" s="73">
        <v>673</v>
      </c>
      <c r="F73" s="75">
        <v>1.0758690592419141E-2</v>
      </c>
      <c r="G73" s="76">
        <v>1.4831196376790354E-2</v>
      </c>
      <c r="H73" s="72" t="s">
        <v>23</v>
      </c>
      <c r="I73" s="72" t="s">
        <v>124</v>
      </c>
    </row>
    <row r="74" spans="1:9" ht="12.75" customHeight="1" x14ac:dyDescent="0.2">
      <c r="A74" s="71">
        <v>40</v>
      </c>
      <c r="B74" s="72" t="s">
        <v>125</v>
      </c>
      <c r="C74" s="73">
        <v>8.4712333333333341</v>
      </c>
      <c r="D74" s="74">
        <v>97.910416666665824</v>
      </c>
      <c r="E74" s="73">
        <v>3259</v>
      </c>
      <c r="F74" s="75">
        <v>6.2129488767128378E-2</v>
      </c>
      <c r="G74" s="76">
        <v>7.1820013361010043E-2</v>
      </c>
      <c r="H74" s="72" t="s">
        <v>23</v>
      </c>
      <c r="I74" s="72" t="s">
        <v>126</v>
      </c>
    </row>
    <row r="75" spans="1:9" ht="12.75" customHeight="1" x14ac:dyDescent="0.2">
      <c r="A75" s="71">
        <v>41</v>
      </c>
      <c r="B75" s="72" t="s">
        <v>127</v>
      </c>
      <c r="C75" s="73">
        <v>8.5513333333333339</v>
      </c>
      <c r="D75" s="74">
        <v>275.37843333333586</v>
      </c>
      <c r="E75" s="73">
        <v>9633.2572364827938</v>
      </c>
      <c r="F75" s="75">
        <v>0.17474260515855614</v>
      </c>
      <c r="G75" s="76">
        <v>0.21229231771532403</v>
      </c>
      <c r="H75" s="72" t="s">
        <v>128</v>
      </c>
      <c r="I75" s="72" t="s">
        <v>129</v>
      </c>
    </row>
    <row r="76" spans="1:9" ht="12.75" customHeight="1" x14ac:dyDescent="0.2">
      <c r="A76" s="71">
        <v>42</v>
      </c>
      <c r="B76" s="72" t="s">
        <v>123</v>
      </c>
      <c r="C76" s="73">
        <v>8.6257166666666674</v>
      </c>
      <c r="D76" s="74">
        <v>10.976474999999827</v>
      </c>
      <c r="E76" s="73">
        <v>494.64951456310621</v>
      </c>
      <c r="F76" s="75">
        <v>6.9651708514006658E-3</v>
      </c>
      <c r="G76" s="76">
        <v>1.0900808451960547E-2</v>
      </c>
      <c r="H76" s="72" t="s">
        <v>23</v>
      </c>
      <c r="I76" s="72" t="s">
        <v>124</v>
      </c>
    </row>
    <row r="77" spans="1:9" ht="12.75" customHeight="1" x14ac:dyDescent="0.2">
      <c r="A77" s="71">
        <v>43</v>
      </c>
      <c r="B77" s="72" t="s">
        <v>130</v>
      </c>
      <c r="C77" s="73">
        <v>8.7115500000000008</v>
      </c>
      <c r="D77" s="74">
        <v>15.207666666667272</v>
      </c>
      <c r="E77" s="73">
        <v>837.97961165048628</v>
      </c>
      <c r="F77" s="75">
        <v>9.6500922732015576E-3</v>
      </c>
      <c r="G77" s="76">
        <v>1.84669244875704E-2</v>
      </c>
      <c r="H77" s="72" t="s">
        <v>23</v>
      </c>
      <c r="I77" s="72" t="s">
        <v>131</v>
      </c>
    </row>
    <row r="78" spans="1:9" ht="12.75" customHeight="1" x14ac:dyDescent="0.2">
      <c r="A78" s="71">
        <v>44</v>
      </c>
      <c r="B78" s="72" t="s">
        <v>132</v>
      </c>
      <c r="C78" s="73">
        <v>8.7916666666666661</v>
      </c>
      <c r="D78" s="74">
        <v>75.94806427513052</v>
      </c>
      <c r="E78" s="73">
        <v>2391.2109458837958</v>
      </c>
      <c r="F78" s="75">
        <v>4.8193180735113202E-2</v>
      </c>
      <c r="G78" s="76">
        <v>5.2696165106587201E-2</v>
      </c>
      <c r="H78" s="72" t="s">
        <v>23</v>
      </c>
      <c r="I78" s="72" t="s">
        <v>133</v>
      </c>
    </row>
    <row r="79" spans="1:9" ht="12.75" customHeight="1" x14ac:dyDescent="0.2">
      <c r="A79" s="71">
        <v>45</v>
      </c>
      <c r="B79" s="72" t="s">
        <v>134</v>
      </c>
      <c r="C79" s="73">
        <v>8.8202666666666669</v>
      </c>
      <c r="D79" s="74">
        <v>85.472660724869655</v>
      </c>
      <c r="E79" s="73">
        <v>2378.0507435229192</v>
      </c>
      <c r="F79" s="75">
        <v>5.4237055618723683E-2</v>
      </c>
      <c r="G79" s="76">
        <v>5.2406147951204643E-2</v>
      </c>
      <c r="H79" s="72" t="s">
        <v>23</v>
      </c>
      <c r="I79" s="72" t="s">
        <v>135</v>
      </c>
    </row>
    <row r="80" spans="1:9" ht="12.75" customHeight="1" x14ac:dyDescent="0.2">
      <c r="A80" s="71">
        <v>46</v>
      </c>
      <c r="B80" s="72" t="s">
        <v>136</v>
      </c>
      <c r="C80" s="73">
        <v>8.9633166666666675</v>
      </c>
      <c r="D80" s="74">
        <v>10.405725000000082</v>
      </c>
      <c r="E80" s="73">
        <v>622.88264669163459</v>
      </c>
      <c r="F80" s="75">
        <v>6.602998909731303E-3</v>
      </c>
      <c r="G80" s="76">
        <v>1.3726738265644215E-2</v>
      </c>
      <c r="H80" s="72" t="s">
        <v>23</v>
      </c>
      <c r="I80" s="72" t="s">
        <v>137</v>
      </c>
    </row>
    <row r="81" spans="1:9" ht="12.75" customHeight="1" x14ac:dyDescent="0.2">
      <c r="A81" s="71">
        <v>47</v>
      </c>
      <c r="B81" s="72" t="s">
        <v>138</v>
      </c>
      <c r="C81" s="73">
        <v>9.0319833333333328</v>
      </c>
      <c r="D81" s="74">
        <v>22.968149266189855</v>
      </c>
      <c r="E81" s="73">
        <v>748.46381357831001</v>
      </c>
      <c r="F81" s="75">
        <v>1.4574540895823811E-2</v>
      </c>
      <c r="G81" s="76">
        <v>1.6494225557357092E-2</v>
      </c>
      <c r="H81" s="72" t="s">
        <v>23</v>
      </c>
      <c r="I81" s="72" t="s">
        <v>139</v>
      </c>
    </row>
    <row r="82" spans="1:9" ht="12.75" customHeight="1" x14ac:dyDescent="0.2">
      <c r="A82" s="71">
        <v>48</v>
      </c>
      <c r="B82" s="72" t="s">
        <v>140</v>
      </c>
      <c r="C82" s="73">
        <v>9.0663166666666672</v>
      </c>
      <c r="D82" s="74">
        <v>34.681709067143771</v>
      </c>
      <c r="E82" s="73">
        <v>1725.3914407349328</v>
      </c>
      <c r="F82" s="75">
        <v>2.2007432173920295E-2</v>
      </c>
      <c r="G82" s="76">
        <v>3.8023208446319498E-2</v>
      </c>
      <c r="H82" s="72" t="s">
        <v>23</v>
      </c>
      <c r="I82" s="72" t="s">
        <v>141</v>
      </c>
    </row>
    <row r="83" spans="1:9" ht="12.75" customHeight="1" x14ac:dyDescent="0.2">
      <c r="A83" s="71">
        <v>49</v>
      </c>
      <c r="B83" s="72" t="s">
        <v>142</v>
      </c>
      <c r="C83" s="73">
        <v>9.1235333333333344</v>
      </c>
      <c r="D83" s="74">
        <v>28.927533333333997</v>
      </c>
      <c r="E83" s="73">
        <v>1020.5416997617165</v>
      </c>
      <c r="F83" s="75">
        <v>1.8356094463501466E-2</v>
      </c>
      <c r="G83" s="76">
        <v>2.2490125348988761E-2</v>
      </c>
      <c r="H83" s="72" t="s">
        <v>23</v>
      </c>
      <c r="I83" s="72" t="s">
        <v>143</v>
      </c>
    </row>
    <row r="84" spans="1:9" ht="12.75" customHeight="1" x14ac:dyDescent="0.2">
      <c r="A84" s="71">
        <v>51</v>
      </c>
      <c r="B84" s="72" t="s">
        <v>144</v>
      </c>
      <c r="C84" s="73">
        <v>9.2837499999999995</v>
      </c>
      <c r="D84" s="74">
        <v>115.43265443307814</v>
      </c>
      <c r="E84" s="73">
        <v>2427.7830349531114</v>
      </c>
      <c r="F84" s="75">
        <v>7.3248302388252542E-2</v>
      </c>
      <c r="G84" s="76">
        <v>5.3502120284739489E-2</v>
      </c>
      <c r="H84" s="72" t="s">
        <v>145</v>
      </c>
      <c r="I84" s="72" t="s">
        <v>146</v>
      </c>
    </row>
    <row r="85" spans="1:9" ht="12.75" customHeight="1" x14ac:dyDescent="0.2">
      <c r="A85" s="71">
        <v>52</v>
      </c>
      <c r="B85" s="72" t="s">
        <v>147</v>
      </c>
      <c r="C85" s="73">
        <v>9.3409666666666666</v>
      </c>
      <c r="D85" s="74">
        <v>43.492947186700697</v>
      </c>
      <c r="E85" s="73">
        <v>1375.6349104859337</v>
      </c>
      <c r="F85" s="75">
        <v>2.7598642368002572E-2</v>
      </c>
      <c r="G85" s="76">
        <v>3.0315470282593314E-2</v>
      </c>
      <c r="H85" s="72" t="s">
        <v>148</v>
      </c>
      <c r="I85" s="72" t="s">
        <v>149</v>
      </c>
    </row>
    <row r="86" spans="1:9" ht="12.75" customHeight="1" x14ac:dyDescent="0.2">
      <c r="A86" s="71">
        <v>53</v>
      </c>
      <c r="B86" s="72" t="s">
        <v>144</v>
      </c>
      <c r="C86" s="73">
        <v>9.3924666666666674</v>
      </c>
      <c r="D86" s="74">
        <v>34.051520927464878</v>
      </c>
      <c r="E86" s="73">
        <v>1026.9047314578011</v>
      </c>
      <c r="F86" s="75">
        <v>2.1607543497328775E-2</v>
      </c>
      <c r="G86" s="76">
        <v>2.2630350271182483E-2</v>
      </c>
      <c r="H86" s="72" t="s">
        <v>145</v>
      </c>
      <c r="I86" s="72" t="s">
        <v>146</v>
      </c>
    </row>
    <row r="87" spans="1:9" ht="12.75" customHeight="1" x14ac:dyDescent="0.2">
      <c r="A87" s="71">
        <v>54</v>
      </c>
      <c r="B87" s="72" t="s">
        <v>144</v>
      </c>
      <c r="C87" s="73">
        <v>9.4439666666666664</v>
      </c>
      <c r="D87" s="74">
        <v>23.335543300065893</v>
      </c>
      <c r="E87" s="73">
        <v>930.04137753790815</v>
      </c>
      <c r="F87" s="75">
        <v>1.4807672408056286E-2</v>
      </c>
      <c r="G87" s="76">
        <v>2.0495730027942544E-2</v>
      </c>
      <c r="H87" s="72" t="s">
        <v>145</v>
      </c>
      <c r="I87" s="72" t="s">
        <v>146</v>
      </c>
    </row>
    <row r="88" spans="1:9" ht="12.75" customHeight="1" x14ac:dyDescent="0.2">
      <c r="A88" s="71">
        <v>55</v>
      </c>
      <c r="B88" s="72" t="s">
        <v>150</v>
      </c>
      <c r="C88" s="73">
        <v>9.6041833333333333</v>
      </c>
      <c r="D88" s="74">
        <v>346.34565669992833</v>
      </c>
      <c r="E88" s="73">
        <v>6406.8678146149241</v>
      </c>
      <c r="F88" s="75">
        <v>0.21977517122351212</v>
      </c>
      <c r="G88" s="76">
        <v>0.14119095797725348</v>
      </c>
      <c r="H88" s="72" t="s">
        <v>23</v>
      </c>
      <c r="I88" s="72" t="s">
        <v>151</v>
      </c>
    </row>
    <row r="89" spans="1:9" ht="12.75" customHeight="1" x14ac:dyDescent="0.2">
      <c r="A89" s="71">
        <v>56</v>
      </c>
      <c r="B89" s="72" t="s">
        <v>152</v>
      </c>
      <c r="C89" s="73">
        <v>9.7300666666666675</v>
      </c>
      <c r="D89" s="74">
        <v>8864.5707083334692</v>
      </c>
      <c r="E89" s="73">
        <v>237427.52068876894</v>
      </c>
      <c r="F89" s="75">
        <v>5.6250526246236072</v>
      </c>
      <c r="G89" s="76">
        <v>5.2322944793307373</v>
      </c>
      <c r="H89" s="72" t="s">
        <v>153</v>
      </c>
      <c r="I89" s="72" t="s">
        <v>154</v>
      </c>
    </row>
    <row r="90" spans="1:9" ht="12.75" customHeight="1" x14ac:dyDescent="0.2">
      <c r="A90" s="71">
        <v>57</v>
      </c>
      <c r="B90" s="72" t="s">
        <v>155</v>
      </c>
      <c r="C90" s="73">
        <v>9.8788333333333327</v>
      </c>
      <c r="D90" s="74">
        <v>263.3850179773849</v>
      </c>
      <c r="E90" s="73">
        <v>9541.8103597575391</v>
      </c>
      <c r="F90" s="75">
        <v>0.16713213029790991</v>
      </c>
      <c r="G90" s="76">
        <v>0.21027706275729074</v>
      </c>
      <c r="H90" s="72" t="s">
        <v>156</v>
      </c>
      <c r="I90" s="72" t="s">
        <v>157</v>
      </c>
    </row>
    <row r="91" spans="1:9" ht="12.75" customHeight="1" x14ac:dyDescent="0.2">
      <c r="A91" s="71">
        <v>58</v>
      </c>
      <c r="B91" s="72" t="s">
        <v>158</v>
      </c>
      <c r="C91" s="73">
        <v>9.9246166666666671</v>
      </c>
      <c r="D91" s="74">
        <v>117.05896005930254</v>
      </c>
      <c r="E91" s="73">
        <v>2909.8880579390693</v>
      </c>
      <c r="F91" s="75">
        <v>7.4280281830035738E-2</v>
      </c>
      <c r="G91" s="76">
        <v>6.4126480270091296E-2</v>
      </c>
      <c r="H91" s="72" t="s">
        <v>159</v>
      </c>
      <c r="I91" s="72" t="s">
        <v>160</v>
      </c>
    </row>
    <row r="92" spans="1:9" ht="12.75" customHeight="1" x14ac:dyDescent="0.2">
      <c r="A92" s="71">
        <v>59</v>
      </c>
      <c r="B92" s="72" t="s">
        <v>161</v>
      </c>
      <c r="C92" s="73">
        <v>9.9589499999999997</v>
      </c>
      <c r="D92" s="74">
        <v>13.306975000000222</v>
      </c>
      <c r="E92" s="73">
        <v>832.63599301106569</v>
      </c>
      <c r="F92" s="75">
        <v>8.4439999535661833E-3</v>
      </c>
      <c r="G92" s="76">
        <v>1.8349164818322373E-2</v>
      </c>
      <c r="H92" s="72" t="s">
        <v>23</v>
      </c>
      <c r="I92" s="72" t="s">
        <v>162</v>
      </c>
    </row>
    <row r="93" spans="1:9" ht="12.75" customHeight="1" x14ac:dyDescent="0.2">
      <c r="A93" s="71">
        <v>60</v>
      </c>
      <c r="B93" s="72" t="s">
        <v>163</v>
      </c>
      <c r="C93" s="73">
        <v>10.021883333333333</v>
      </c>
      <c r="D93" s="74">
        <v>127.17353029664667</v>
      </c>
      <c r="E93" s="73">
        <v>4439.1896402424627</v>
      </c>
      <c r="F93" s="75">
        <v>8.0698527194927039E-2</v>
      </c>
      <c r="G93" s="76">
        <v>9.7828370443163865E-2</v>
      </c>
      <c r="H93" s="72" t="s">
        <v>23</v>
      </c>
      <c r="I93" s="72" t="s">
        <v>164</v>
      </c>
    </row>
    <row r="94" spans="1:9" ht="12.75" customHeight="1" x14ac:dyDescent="0.2">
      <c r="A94" s="71">
        <v>61</v>
      </c>
      <c r="B94" s="72" t="s">
        <v>165</v>
      </c>
      <c r="C94" s="73">
        <v>10.136333333333333</v>
      </c>
      <c r="D94" s="74">
        <v>66.808916666667201</v>
      </c>
      <c r="E94" s="73">
        <v>3601.3403883495139</v>
      </c>
      <c r="F94" s="75">
        <v>4.2393894121777152E-2</v>
      </c>
      <c r="G94" s="76">
        <v>7.936431875078466E-2</v>
      </c>
      <c r="H94" s="72" t="s">
        <v>23</v>
      </c>
      <c r="I94" s="72" t="s">
        <v>166</v>
      </c>
    </row>
    <row r="95" spans="1:9" ht="12.75" customHeight="1" x14ac:dyDescent="0.2">
      <c r="A95" s="71">
        <v>62</v>
      </c>
      <c r="B95" s="72" t="s">
        <v>167</v>
      </c>
      <c r="C95" s="73">
        <v>10.176383333333334</v>
      </c>
      <c r="D95" s="74">
        <v>17.143041666666306</v>
      </c>
      <c r="E95" s="73">
        <v>823.20000000000027</v>
      </c>
      <c r="F95" s="75">
        <v>1.0878193055695306E-2</v>
      </c>
      <c r="G95" s="76">
        <v>1.8141219698920984E-2</v>
      </c>
      <c r="H95" s="72" t="s">
        <v>23</v>
      </c>
      <c r="I95" s="72" t="s">
        <v>168</v>
      </c>
    </row>
    <row r="96" spans="1:9" ht="12.75" customHeight="1" x14ac:dyDescent="0.2">
      <c r="A96" s="71">
        <v>63</v>
      </c>
      <c r="B96" s="72" t="s">
        <v>169</v>
      </c>
      <c r="C96" s="73">
        <v>10.245050000000001</v>
      </c>
      <c r="D96" s="74">
        <v>15.919866666666792</v>
      </c>
      <c r="E96" s="73">
        <v>1107.3906079359356</v>
      </c>
      <c r="F96" s="75">
        <v>1.0102021939179414E-2</v>
      </c>
      <c r="G96" s="76">
        <v>2.4404052856034343E-2</v>
      </c>
      <c r="H96" s="72" t="s">
        <v>23</v>
      </c>
      <c r="I96" s="72" t="s">
        <v>170</v>
      </c>
    </row>
    <row r="97" spans="1:9" ht="12.75" customHeight="1" x14ac:dyDescent="0.2">
      <c r="A97" s="71">
        <v>64</v>
      </c>
      <c r="B97" s="72" t="s">
        <v>171</v>
      </c>
      <c r="C97" s="73">
        <v>10.342316666666667</v>
      </c>
      <c r="D97" s="74">
        <v>12.25339999999963</v>
      </c>
      <c r="E97" s="73">
        <v>616.73294509151492</v>
      </c>
      <c r="F97" s="75">
        <v>7.775449268599589E-3</v>
      </c>
      <c r="G97" s="76">
        <v>1.3591214592404933E-2</v>
      </c>
      <c r="H97" s="72" t="s">
        <v>23</v>
      </c>
      <c r="I97" s="72" t="s">
        <v>172</v>
      </c>
    </row>
    <row r="98" spans="1:9" ht="12.75" customHeight="1" x14ac:dyDescent="0.2">
      <c r="A98" s="71">
        <v>65</v>
      </c>
      <c r="B98" s="72" t="s">
        <v>169</v>
      </c>
      <c r="C98" s="73">
        <v>10.433866666666667</v>
      </c>
      <c r="D98" s="74">
        <v>97.570099999998405</v>
      </c>
      <c r="E98" s="73">
        <v>3224.2307020099047</v>
      </c>
      <c r="F98" s="75">
        <v>6.1913539318246308E-2</v>
      </c>
      <c r="G98" s="76">
        <v>7.1053787081107753E-2</v>
      </c>
      <c r="H98" s="72" t="s">
        <v>23</v>
      </c>
      <c r="I98" s="72" t="s">
        <v>170</v>
      </c>
    </row>
    <row r="99" spans="1:9" ht="12.75" customHeight="1" x14ac:dyDescent="0.2">
      <c r="A99" s="71">
        <v>66</v>
      </c>
      <c r="B99" s="72" t="s">
        <v>173</v>
      </c>
      <c r="C99" s="73">
        <v>10.531133333333333</v>
      </c>
      <c r="D99" s="74">
        <v>85.690028458419022</v>
      </c>
      <c r="E99" s="73">
        <v>2579.9187799862971</v>
      </c>
      <c r="F99" s="75">
        <v>5.4374987277270991E-2</v>
      </c>
      <c r="G99" s="76">
        <v>5.6854802469756549E-2</v>
      </c>
      <c r="H99" s="72" t="s">
        <v>23</v>
      </c>
      <c r="I99" s="72" t="s">
        <v>174</v>
      </c>
    </row>
    <row r="100" spans="1:9" ht="12.75" customHeight="1" x14ac:dyDescent="0.2">
      <c r="A100" s="71">
        <v>67</v>
      </c>
      <c r="B100" s="72" t="s">
        <v>175</v>
      </c>
      <c r="C100" s="73">
        <v>10.571200000000001</v>
      </c>
      <c r="D100" s="74">
        <v>47.613838208246705</v>
      </c>
      <c r="E100" s="73">
        <v>2071.4054146675758</v>
      </c>
      <c r="F100" s="75">
        <v>3.0213572026665435E-2</v>
      </c>
      <c r="G100" s="76">
        <v>4.5648470253910355E-2</v>
      </c>
      <c r="H100" s="72" t="s">
        <v>23</v>
      </c>
      <c r="I100" s="72" t="s">
        <v>176</v>
      </c>
    </row>
    <row r="101" spans="1:9" ht="12.75" customHeight="1" x14ac:dyDescent="0.2">
      <c r="A101" s="71">
        <v>68</v>
      </c>
      <c r="B101" s="72" t="s">
        <v>177</v>
      </c>
      <c r="C101" s="73">
        <v>10.657016666666667</v>
      </c>
      <c r="D101" s="74">
        <v>31.91271343450893</v>
      </c>
      <c r="E101" s="73">
        <v>1093.1170001361115</v>
      </c>
      <c r="F101" s="75">
        <v>2.0250353724957013E-2</v>
      </c>
      <c r="G101" s="76">
        <v>2.4089499096324869E-2</v>
      </c>
      <c r="H101" s="72" t="s">
        <v>178</v>
      </c>
      <c r="I101" s="72" t="s">
        <v>179</v>
      </c>
    </row>
    <row r="102" spans="1:9" ht="12.75" customHeight="1" x14ac:dyDescent="0.2">
      <c r="A102" s="71">
        <v>69</v>
      </c>
      <c r="B102" s="72" t="s">
        <v>180</v>
      </c>
      <c r="C102" s="73">
        <v>10.748583333333334</v>
      </c>
      <c r="D102" s="74">
        <v>2446.2023888085823</v>
      </c>
      <c r="E102" s="73">
        <v>92753.916319586235</v>
      </c>
      <c r="F102" s="75">
        <v>1.5522485656967728</v>
      </c>
      <c r="G102" s="76">
        <v>2.0440587632275826</v>
      </c>
      <c r="H102" s="72" t="s">
        <v>181</v>
      </c>
      <c r="I102" s="72" t="s">
        <v>182</v>
      </c>
    </row>
    <row r="103" spans="1:9" ht="12.75" customHeight="1" x14ac:dyDescent="0.2">
      <c r="A103" s="71">
        <v>70</v>
      </c>
      <c r="B103" s="72" t="s">
        <v>183</v>
      </c>
      <c r="C103" s="73">
        <v>10.811516666666668</v>
      </c>
      <c r="D103" s="74">
        <v>240.68794568849839</v>
      </c>
      <c r="E103" s="73">
        <v>7768.3513815162687</v>
      </c>
      <c r="F103" s="75">
        <v>0.15272960249925974</v>
      </c>
      <c r="G103" s="76">
        <v>0.17119456889030971</v>
      </c>
      <c r="H103" s="72" t="s">
        <v>184</v>
      </c>
      <c r="I103" s="72" t="s">
        <v>185</v>
      </c>
    </row>
    <row r="104" spans="1:9" ht="12.75" customHeight="1" x14ac:dyDescent="0.2">
      <c r="A104" s="71">
        <v>71</v>
      </c>
      <c r="B104" s="72" t="s">
        <v>186</v>
      </c>
      <c r="C104" s="73">
        <v>10.885899999999999</v>
      </c>
      <c r="D104" s="74">
        <v>43.216728547932689</v>
      </c>
      <c r="E104" s="73">
        <v>1708.522907309105</v>
      </c>
      <c r="F104" s="75">
        <v>2.7423366606762239E-2</v>
      </c>
      <c r="G104" s="76">
        <v>3.7651469171688136E-2</v>
      </c>
      <c r="H104" s="72" t="s">
        <v>187</v>
      </c>
      <c r="I104" s="72" t="s">
        <v>188</v>
      </c>
    </row>
    <row r="105" spans="1:9" ht="12.75" customHeight="1" x14ac:dyDescent="0.2">
      <c r="A105" s="71">
        <v>72</v>
      </c>
      <c r="B105" s="72" t="s">
        <v>189</v>
      </c>
      <c r="C105" s="73">
        <v>10.914516666666668</v>
      </c>
      <c r="D105" s="74">
        <v>90.717144388866572</v>
      </c>
      <c r="E105" s="73">
        <v>2304.8409691030383</v>
      </c>
      <c r="F105" s="75">
        <v>5.7564965967639777E-2</v>
      </c>
      <c r="G105" s="76">
        <v>5.0792792020860254E-2</v>
      </c>
      <c r="H105" s="72" t="s">
        <v>23</v>
      </c>
      <c r="I105" s="72" t="s">
        <v>190</v>
      </c>
    </row>
    <row r="106" spans="1:9" ht="12.75" customHeight="1" x14ac:dyDescent="0.2">
      <c r="A106" s="71">
        <v>73</v>
      </c>
      <c r="B106" s="72" t="s">
        <v>191</v>
      </c>
      <c r="C106" s="73">
        <v>11.051833333333333</v>
      </c>
      <c r="D106" s="74">
        <v>15777.019052554482</v>
      </c>
      <c r="E106" s="73">
        <v>563045.44755682594</v>
      </c>
      <c r="F106" s="75">
        <v>10.011377352642553</v>
      </c>
      <c r="G106" s="76">
        <v>12.408079646022436</v>
      </c>
      <c r="H106" s="72" t="s">
        <v>192</v>
      </c>
      <c r="I106" s="72" t="s">
        <v>182</v>
      </c>
    </row>
    <row r="107" spans="1:9" ht="12.75" customHeight="1" x14ac:dyDescent="0.2">
      <c r="A107" s="71">
        <v>74</v>
      </c>
      <c r="B107" s="72" t="s">
        <v>193</v>
      </c>
      <c r="C107" s="73">
        <v>11.114783333333333</v>
      </c>
      <c r="D107" s="74">
        <v>513.20684935959821</v>
      </c>
      <c r="E107" s="73">
        <v>11783.928814482102</v>
      </c>
      <c r="F107" s="75">
        <v>0.32565768043918492</v>
      </c>
      <c r="G107" s="76">
        <v>0.25968761120015216</v>
      </c>
      <c r="H107" s="72" t="s">
        <v>194</v>
      </c>
      <c r="I107" s="72" t="s">
        <v>195</v>
      </c>
    </row>
    <row r="108" spans="1:9" ht="12.75" customHeight="1" x14ac:dyDescent="0.2">
      <c r="A108" s="71">
        <v>75</v>
      </c>
      <c r="B108" s="72" t="s">
        <v>196</v>
      </c>
      <c r="C108" s="73">
        <v>11.177716666666667</v>
      </c>
      <c r="D108" s="74">
        <v>39.234553746426229</v>
      </c>
      <c r="E108" s="73">
        <v>1717.3638764121431</v>
      </c>
      <c r="F108" s="75">
        <v>2.4896459940219884E-2</v>
      </c>
      <c r="G108" s="76">
        <v>3.7846301488074906E-2</v>
      </c>
      <c r="H108" s="72" t="s">
        <v>23</v>
      </c>
      <c r="I108" s="72" t="s">
        <v>197</v>
      </c>
    </row>
    <row r="109" spans="1:9" ht="12.75" customHeight="1" x14ac:dyDescent="0.2">
      <c r="A109" s="71">
        <v>76</v>
      </c>
      <c r="B109" s="72" t="s">
        <v>198</v>
      </c>
      <c r="C109" s="73">
        <v>11.2235</v>
      </c>
      <c r="D109" s="74">
        <v>11.705523471031412</v>
      </c>
      <c r="E109" s="73">
        <v>430.26353613719903</v>
      </c>
      <c r="F109" s="75">
        <v>7.4277917893326977E-3</v>
      </c>
      <c r="G109" s="76">
        <v>9.4819063866612655E-3</v>
      </c>
      <c r="H109" s="72" t="s">
        <v>23</v>
      </c>
      <c r="I109" s="72" t="s">
        <v>199</v>
      </c>
    </row>
    <row r="110" spans="1:9" ht="12.75" customHeight="1" x14ac:dyDescent="0.2">
      <c r="A110" s="71">
        <v>77</v>
      </c>
      <c r="B110" s="72" t="s">
        <v>200</v>
      </c>
      <c r="C110" s="73">
        <v>11.275</v>
      </c>
      <c r="D110" s="74">
        <v>19.782749999999467</v>
      </c>
      <c r="E110" s="73">
        <v>1441.5641025641014</v>
      </c>
      <c r="F110" s="75">
        <v>1.2553231675974753E-2</v>
      </c>
      <c r="G110" s="76">
        <v>3.1768380824457258E-2</v>
      </c>
      <c r="H110" s="72" t="s">
        <v>23</v>
      </c>
      <c r="I110" s="72" t="s">
        <v>201</v>
      </c>
    </row>
    <row r="111" spans="1:9" ht="12.75" customHeight="1" x14ac:dyDescent="0.2">
      <c r="A111" s="71">
        <v>78</v>
      </c>
      <c r="B111" s="72" t="s">
        <v>202</v>
      </c>
      <c r="C111" s="73">
        <v>11.337933333333334</v>
      </c>
      <c r="D111" s="74">
        <v>242.21267499999794</v>
      </c>
      <c r="E111" s="73">
        <v>8993.8570468295056</v>
      </c>
      <c r="F111" s="75">
        <v>0.15369712624041826</v>
      </c>
      <c r="G111" s="76">
        <v>0.19820157510595562</v>
      </c>
      <c r="H111" s="72" t="s">
        <v>203</v>
      </c>
      <c r="I111" s="72" t="s">
        <v>204</v>
      </c>
    </row>
    <row r="112" spans="1:9" ht="12.75" customHeight="1" x14ac:dyDescent="0.2">
      <c r="A112" s="71">
        <v>80</v>
      </c>
      <c r="B112" s="72" t="s">
        <v>205</v>
      </c>
      <c r="C112" s="73">
        <v>11.698416666666667</v>
      </c>
      <c r="D112" s="74">
        <v>2199.8470434178944</v>
      </c>
      <c r="E112" s="73">
        <v>47950.017184883138</v>
      </c>
      <c r="F112" s="75">
        <v>1.3959226896024903</v>
      </c>
      <c r="G112" s="76">
        <v>1.0566955737585053</v>
      </c>
      <c r="H112" s="72" t="s">
        <v>206</v>
      </c>
      <c r="I112" s="72" t="s">
        <v>207</v>
      </c>
    </row>
    <row r="113" spans="1:9" ht="12.75" customHeight="1" x14ac:dyDescent="0.2">
      <c r="A113" s="71">
        <v>86</v>
      </c>
      <c r="B113" s="72" t="s">
        <v>208</v>
      </c>
      <c r="C113" s="73">
        <v>11.984516666666666</v>
      </c>
      <c r="D113" s="74">
        <v>21959.632815418325</v>
      </c>
      <c r="E113" s="73">
        <v>670109.13784315158</v>
      </c>
      <c r="F113" s="75">
        <v>13.934582312938867</v>
      </c>
      <c r="G113" s="76">
        <v>14.767489178652982</v>
      </c>
      <c r="H113" s="72" t="s">
        <v>209</v>
      </c>
      <c r="I113" s="72" t="s">
        <v>210</v>
      </c>
    </row>
    <row r="114" spans="1:9" ht="12.75" customHeight="1" x14ac:dyDescent="0.2">
      <c r="A114" s="71">
        <v>87</v>
      </c>
      <c r="B114" s="72" t="s">
        <v>211</v>
      </c>
      <c r="C114" s="73">
        <v>12.087516666666668</v>
      </c>
      <c r="D114" s="74">
        <v>90.421391666671184</v>
      </c>
      <c r="E114" s="73">
        <v>3238.6028394613113</v>
      </c>
      <c r="F114" s="75">
        <v>5.7377294767199043E-2</v>
      </c>
      <c r="G114" s="76">
        <v>7.137051218199339E-2</v>
      </c>
      <c r="H114" s="72" t="s">
        <v>212</v>
      </c>
      <c r="I114" s="72" t="s">
        <v>213</v>
      </c>
    </row>
    <row r="115" spans="1:9" ht="12.75" customHeight="1" x14ac:dyDescent="0.2">
      <c r="A115" s="71">
        <v>88</v>
      </c>
      <c r="B115" s="72" t="s">
        <v>214</v>
      </c>
      <c r="C115" s="73">
        <v>12.150466666666667</v>
      </c>
      <c r="D115" s="74">
        <v>472.98877500001385</v>
      </c>
      <c r="E115" s="73">
        <v>15431.277346278308</v>
      </c>
      <c r="F115" s="75">
        <v>0.30013712313560192</v>
      </c>
      <c r="G115" s="76">
        <v>0.3400658316008468</v>
      </c>
      <c r="H115" s="72" t="s">
        <v>215</v>
      </c>
      <c r="I115" s="72" t="s">
        <v>216</v>
      </c>
    </row>
    <row r="116" spans="1:9" ht="12.75" customHeight="1" x14ac:dyDescent="0.2">
      <c r="A116" s="71">
        <v>89</v>
      </c>
      <c r="B116" s="72" t="s">
        <v>217</v>
      </c>
      <c r="C116" s="73">
        <v>12.184783333333334</v>
      </c>
      <c r="D116" s="74">
        <v>425.69011666665619</v>
      </c>
      <c r="E116" s="73">
        <v>16090.111974110041</v>
      </c>
      <c r="F116" s="75">
        <v>0.2701235498952067</v>
      </c>
      <c r="G116" s="76">
        <v>0.35458485945404444</v>
      </c>
      <c r="H116" s="72" t="s">
        <v>218</v>
      </c>
      <c r="I116" s="72" t="s">
        <v>219</v>
      </c>
    </row>
    <row r="117" spans="1:9" ht="12.75" customHeight="1" x14ac:dyDescent="0.2">
      <c r="A117" s="71">
        <v>90</v>
      </c>
      <c r="B117" s="72" t="s">
        <v>211</v>
      </c>
      <c r="C117" s="73">
        <v>12.299233333333333</v>
      </c>
      <c r="D117" s="74">
        <v>26.544224999999273</v>
      </c>
      <c r="E117" s="73">
        <v>1426.3453132588638</v>
      </c>
      <c r="F117" s="75">
        <v>1.6843755599408615E-2</v>
      </c>
      <c r="G117" s="76">
        <v>3.1432997685076909E-2</v>
      </c>
      <c r="H117" s="72" t="s">
        <v>212</v>
      </c>
      <c r="I117" s="72" t="s">
        <v>213</v>
      </c>
    </row>
    <row r="118" spans="1:9" ht="12.75" customHeight="1" x14ac:dyDescent="0.2">
      <c r="A118" s="71">
        <v>91</v>
      </c>
      <c r="B118" s="72" t="s">
        <v>220</v>
      </c>
      <c r="C118" s="73">
        <v>12.362166666666667</v>
      </c>
      <c r="D118" s="74">
        <v>30.116641666666382</v>
      </c>
      <c r="E118" s="73">
        <v>1926.2674757281529</v>
      </c>
      <c r="F118" s="75">
        <v>1.9110648425723811E-2</v>
      </c>
      <c r="G118" s="76">
        <v>4.2450001793088381E-2</v>
      </c>
      <c r="H118" s="72" t="s">
        <v>23</v>
      </c>
      <c r="I118" s="72" t="s">
        <v>170</v>
      </c>
    </row>
    <row r="119" spans="1:9" ht="12.75" customHeight="1" x14ac:dyDescent="0.2">
      <c r="A119" s="71">
        <v>92</v>
      </c>
      <c r="B119" s="72" t="s">
        <v>221</v>
      </c>
      <c r="C119" s="73">
        <v>12.402233333333333</v>
      </c>
      <c r="D119" s="74">
        <v>23.560574874343061</v>
      </c>
      <c r="E119" s="73">
        <v>1371.7179575051391</v>
      </c>
      <c r="F119" s="75">
        <v>1.4950467190698268E-2</v>
      </c>
      <c r="G119" s="76">
        <v>3.0229150670621815E-2</v>
      </c>
      <c r="H119" s="72" t="s">
        <v>23</v>
      </c>
      <c r="I119" s="72" t="s">
        <v>222</v>
      </c>
    </row>
    <row r="120" spans="1:9" ht="12.75" customHeight="1" x14ac:dyDescent="0.2">
      <c r="A120" s="71">
        <v>93</v>
      </c>
      <c r="B120" s="72" t="s">
        <v>223</v>
      </c>
      <c r="C120" s="73">
        <v>12.442283333333334</v>
      </c>
      <c r="D120" s="74">
        <v>149.86929179232138</v>
      </c>
      <c r="E120" s="73">
        <v>5645.3589787525743</v>
      </c>
      <c r="F120" s="75">
        <v>9.5100223223936131E-2</v>
      </c>
      <c r="G120" s="76">
        <v>0.12440925353841911</v>
      </c>
      <c r="H120" s="72" t="s">
        <v>224</v>
      </c>
      <c r="I120" s="72" t="s">
        <v>225</v>
      </c>
    </row>
    <row r="121" spans="1:9" ht="12.75" customHeight="1" x14ac:dyDescent="0.2">
      <c r="A121" s="71">
        <v>94</v>
      </c>
      <c r="B121" s="72" t="s">
        <v>226</v>
      </c>
      <c r="C121" s="73">
        <v>12.533833333333334</v>
      </c>
      <c r="D121" s="74">
        <v>231.50085833333071</v>
      </c>
      <c r="E121" s="73">
        <v>6999.3333333333358</v>
      </c>
      <c r="F121" s="75">
        <v>0.1468998955072166</v>
      </c>
      <c r="G121" s="76">
        <v>0.15424738064380583</v>
      </c>
      <c r="H121" s="72" t="s">
        <v>227</v>
      </c>
      <c r="I121" s="72" t="s">
        <v>195</v>
      </c>
    </row>
    <row r="122" spans="1:9" ht="12.75" customHeight="1" x14ac:dyDescent="0.2">
      <c r="A122" s="71">
        <v>97</v>
      </c>
      <c r="B122" s="72" t="s">
        <v>228</v>
      </c>
      <c r="C122" s="73">
        <v>12.711216666666667</v>
      </c>
      <c r="D122" s="74">
        <v>226.86680511846004</v>
      </c>
      <c r="E122" s="73">
        <v>4789.7001741332915</v>
      </c>
      <c r="F122" s="75">
        <v>0.14395933650479942</v>
      </c>
      <c r="G122" s="76">
        <v>0.10555272491607399</v>
      </c>
      <c r="H122" s="72" t="s">
        <v>229</v>
      </c>
      <c r="I122" s="72" t="s">
        <v>230</v>
      </c>
    </row>
    <row r="123" spans="1:9" ht="12.75" customHeight="1" x14ac:dyDescent="0.2">
      <c r="A123" s="71">
        <v>98</v>
      </c>
      <c r="B123" s="72" t="s">
        <v>231</v>
      </c>
      <c r="C123" s="73">
        <v>12.779883333333334</v>
      </c>
      <c r="D123" s="74">
        <v>417.6073955854547</v>
      </c>
      <c r="E123" s="73">
        <v>10857.400348266583</v>
      </c>
      <c r="F123" s="75">
        <v>0.26499462341609686</v>
      </c>
      <c r="G123" s="76">
        <v>0.23926929674082265</v>
      </c>
      <c r="H123" s="72" t="s">
        <v>232</v>
      </c>
      <c r="I123" s="72" t="s">
        <v>233</v>
      </c>
    </row>
    <row r="124" spans="1:9" ht="12.75" customHeight="1" x14ac:dyDescent="0.2">
      <c r="A124" s="71">
        <v>99</v>
      </c>
      <c r="B124" s="72" t="s">
        <v>234</v>
      </c>
      <c r="C124" s="73">
        <v>12.854266666666668</v>
      </c>
      <c r="D124" s="74">
        <v>6.1847916666665128</v>
      </c>
      <c r="E124" s="73">
        <v>504.02038439138096</v>
      </c>
      <c r="F124" s="75">
        <v>3.9245869588052642E-3</v>
      </c>
      <c r="G124" s="76">
        <v>1.110731842320049E-2</v>
      </c>
      <c r="H124" s="72" t="s">
        <v>235</v>
      </c>
      <c r="I124" s="72" t="s">
        <v>236</v>
      </c>
    </row>
    <row r="125" spans="1:9" ht="12.75" customHeight="1" x14ac:dyDescent="0.2">
      <c r="A125" s="71">
        <v>100</v>
      </c>
      <c r="B125" s="72" t="s">
        <v>237</v>
      </c>
      <c r="C125" s="73">
        <v>12.894316666666667</v>
      </c>
      <c r="D125" s="74">
        <v>99.74741686559841</v>
      </c>
      <c r="E125" s="73">
        <v>4276.220104479974</v>
      </c>
      <c r="F125" s="75">
        <v>6.3295165383676286E-2</v>
      </c>
      <c r="G125" s="76">
        <v>9.4236939256941252E-2</v>
      </c>
      <c r="H125" s="72" t="s">
        <v>23</v>
      </c>
      <c r="I125" s="72" t="s">
        <v>238</v>
      </c>
    </row>
    <row r="126" spans="1:9" ht="12.75" customHeight="1" x14ac:dyDescent="0.2">
      <c r="A126" s="71">
        <v>101</v>
      </c>
      <c r="B126" s="72" t="s">
        <v>239</v>
      </c>
      <c r="C126" s="73">
        <v>12.940083333333334</v>
      </c>
      <c r="D126" s="74">
        <v>520.41456386760183</v>
      </c>
      <c r="E126" s="73">
        <v>14730.339686560075</v>
      </c>
      <c r="F126" s="75">
        <v>0.33023136761984767</v>
      </c>
      <c r="G126" s="76">
        <v>0.32461896075512769</v>
      </c>
      <c r="H126" s="72" t="s">
        <v>240</v>
      </c>
      <c r="I126" s="72" t="s">
        <v>241</v>
      </c>
    </row>
    <row r="127" spans="1:9" ht="12.75" customHeight="1" x14ac:dyDescent="0.2">
      <c r="A127" s="71">
        <v>102</v>
      </c>
      <c r="B127" s="72" t="s">
        <v>242</v>
      </c>
      <c r="C127" s="73">
        <v>13.025916666666667</v>
      </c>
      <c r="D127" s="74">
        <v>447.86659868133734</v>
      </c>
      <c r="E127" s="73">
        <v>7901.4649042266901</v>
      </c>
      <c r="F127" s="75">
        <v>0.28419573482846361</v>
      </c>
      <c r="G127" s="76">
        <v>0.17412805001322884</v>
      </c>
      <c r="H127" s="72" t="s">
        <v>243</v>
      </c>
      <c r="I127" s="72" t="s">
        <v>244</v>
      </c>
    </row>
    <row r="128" spans="1:9" ht="12.75" customHeight="1" x14ac:dyDescent="0.2">
      <c r="A128" s="71">
        <v>103</v>
      </c>
      <c r="B128" s="72" t="s">
        <v>245</v>
      </c>
      <c r="C128" s="73">
        <v>13.094583333333334</v>
      </c>
      <c r="D128" s="74">
        <v>152.62531304284954</v>
      </c>
      <c r="E128" s="73">
        <v>3234.1650783599812</v>
      </c>
      <c r="F128" s="75">
        <v>9.684906872124012E-2</v>
      </c>
      <c r="G128" s="76">
        <v>7.1272715292889213E-2</v>
      </c>
      <c r="H128" s="72" t="s">
        <v>246</v>
      </c>
      <c r="I128" s="72" t="s">
        <v>247</v>
      </c>
    </row>
    <row r="129" spans="1:9" ht="12.75" customHeight="1" x14ac:dyDescent="0.2">
      <c r="A129" s="71">
        <v>104</v>
      </c>
      <c r="B129" s="72" t="s">
        <v>248</v>
      </c>
      <c r="C129" s="73">
        <v>13.1518</v>
      </c>
      <c r="D129" s="74">
        <v>27.896356838689059</v>
      </c>
      <c r="E129" s="73">
        <v>1231.5749564666753</v>
      </c>
      <c r="F129" s="75">
        <v>1.7701756849362996E-2</v>
      </c>
      <c r="G129" s="76">
        <v>2.714075784857993E-2</v>
      </c>
      <c r="H129" s="72" t="s">
        <v>23</v>
      </c>
      <c r="I129" s="72" t="s">
        <v>249</v>
      </c>
    </row>
    <row r="130" spans="1:9" ht="12.75" customHeight="1" x14ac:dyDescent="0.2">
      <c r="A130" s="71">
        <v>105</v>
      </c>
      <c r="B130" s="72" t="s">
        <v>250</v>
      </c>
      <c r="C130" s="73">
        <v>13.186133333333334</v>
      </c>
      <c r="D130" s="74">
        <v>25.906306082065207</v>
      </c>
      <c r="E130" s="73">
        <v>1086.2984781184018</v>
      </c>
      <c r="F130" s="75">
        <v>1.6438961323217809E-2</v>
      </c>
      <c r="G130" s="76">
        <v>2.3939236334000767E-2</v>
      </c>
      <c r="H130" s="72" t="s">
        <v>23</v>
      </c>
      <c r="I130" s="72" t="s">
        <v>251</v>
      </c>
    </row>
    <row r="131" spans="1:9" ht="12.75" customHeight="1" x14ac:dyDescent="0.2">
      <c r="A131" s="71">
        <v>108</v>
      </c>
      <c r="B131" s="72" t="s">
        <v>252</v>
      </c>
      <c r="C131" s="73">
        <v>13.3063</v>
      </c>
      <c r="D131" s="74">
        <v>354.43125644493921</v>
      </c>
      <c r="E131" s="73">
        <v>7968.3878249472082</v>
      </c>
      <c r="F131" s="75">
        <v>0.22490592437149848</v>
      </c>
      <c r="G131" s="76">
        <v>0.17560285978932746</v>
      </c>
      <c r="H131" s="72" t="s">
        <v>253</v>
      </c>
      <c r="I131" s="72" t="s">
        <v>254</v>
      </c>
    </row>
    <row r="132" spans="1:9" ht="12.75" customHeight="1" x14ac:dyDescent="0.2">
      <c r="A132" s="71">
        <v>111</v>
      </c>
      <c r="B132" s="72" t="s">
        <v>255</v>
      </c>
      <c r="C132" s="73">
        <v>13.483683333333333</v>
      </c>
      <c r="D132" s="74">
        <v>76.915641666665749</v>
      </c>
      <c r="E132" s="73">
        <v>2789.7429176595188</v>
      </c>
      <c r="F132" s="75">
        <v>4.8807161256546133E-2</v>
      </c>
      <c r="G132" s="76">
        <v>6.1478789082568215E-2</v>
      </c>
      <c r="H132" s="72" t="s">
        <v>256</v>
      </c>
      <c r="I132" s="72" t="s">
        <v>257</v>
      </c>
    </row>
    <row r="133" spans="1:9" ht="12.75" customHeight="1" x14ac:dyDescent="0.2">
      <c r="A133" s="71">
        <v>113</v>
      </c>
      <c r="B133" s="72" t="s">
        <v>258</v>
      </c>
      <c r="C133" s="73">
        <v>13.5924</v>
      </c>
      <c r="D133" s="74">
        <v>910.94811974261233</v>
      </c>
      <c r="E133" s="73">
        <v>30093.372159187129</v>
      </c>
      <c r="F133" s="75">
        <v>0.5780461660751367</v>
      </c>
      <c r="G133" s="76">
        <v>0.66318085012294181</v>
      </c>
      <c r="H133" s="72" t="s">
        <v>259</v>
      </c>
      <c r="I133" s="72" t="s">
        <v>260</v>
      </c>
    </row>
    <row r="134" spans="1:9" ht="12.75" customHeight="1" x14ac:dyDescent="0.2">
      <c r="A134" s="71">
        <v>114</v>
      </c>
      <c r="B134" s="72" t="s">
        <v>261</v>
      </c>
      <c r="C134" s="73">
        <v>13.626733333333334</v>
      </c>
      <c r="D134" s="74">
        <v>158.14725070279025</v>
      </c>
      <c r="E134" s="73">
        <v>6312.6976460626593</v>
      </c>
      <c r="F134" s="75">
        <v>0.1003530387327667</v>
      </c>
      <c r="G134" s="76">
        <v>0.13911568864198737</v>
      </c>
      <c r="H134" s="72" t="s">
        <v>262</v>
      </c>
      <c r="I134" s="72" t="s">
        <v>263</v>
      </c>
    </row>
    <row r="135" spans="1:9" ht="12.75" customHeight="1" x14ac:dyDescent="0.2">
      <c r="A135" s="71">
        <v>116</v>
      </c>
      <c r="B135" s="72" t="s">
        <v>264</v>
      </c>
      <c r="C135" s="73">
        <v>13.798383333333334</v>
      </c>
      <c r="D135" s="74">
        <v>1229.7398404603352</v>
      </c>
      <c r="E135" s="73">
        <v>26763.325893310754</v>
      </c>
      <c r="F135" s="75">
        <v>0.7803368651211402</v>
      </c>
      <c r="G135" s="76">
        <v>0.58979515901891522</v>
      </c>
      <c r="H135" s="72" t="s">
        <v>265</v>
      </c>
      <c r="I135" s="72" t="s">
        <v>266</v>
      </c>
    </row>
    <row r="136" spans="1:9" ht="12.75" customHeight="1" x14ac:dyDescent="0.2">
      <c r="A136" s="71">
        <v>117</v>
      </c>
      <c r="B136" s="72" t="s">
        <v>267</v>
      </c>
      <c r="C136" s="73">
        <v>13.861333333333334</v>
      </c>
      <c r="D136" s="74">
        <v>56.502558333336026</v>
      </c>
      <c r="E136" s="73">
        <v>1854.3265372169053</v>
      </c>
      <c r="F136" s="75">
        <v>3.5853948770704989E-2</v>
      </c>
      <c r="G136" s="76">
        <v>4.0864607756549133E-2</v>
      </c>
      <c r="H136" s="72" t="s">
        <v>23</v>
      </c>
      <c r="I136" s="72" t="s">
        <v>268</v>
      </c>
    </row>
    <row r="137" spans="1:9" ht="12.75" customHeight="1" x14ac:dyDescent="0.2">
      <c r="A137" s="71">
        <v>120</v>
      </c>
      <c r="B137" s="72" t="s">
        <v>269</v>
      </c>
      <c r="C137" s="73">
        <v>14.1646</v>
      </c>
      <c r="D137" s="74">
        <v>346.27492968577531</v>
      </c>
      <c r="E137" s="73">
        <v>7894.481265722231</v>
      </c>
      <c r="F137" s="75">
        <v>0.21973029108326808</v>
      </c>
      <c r="G137" s="76">
        <v>0.17397414850641735</v>
      </c>
      <c r="H137" s="72" t="s">
        <v>270</v>
      </c>
      <c r="I137" s="72" t="s">
        <v>241</v>
      </c>
    </row>
    <row r="138" spans="1:9" ht="12.75" customHeight="1" x14ac:dyDescent="0.2">
      <c r="A138" s="71">
        <v>121</v>
      </c>
      <c r="B138" s="72" t="s">
        <v>271</v>
      </c>
      <c r="C138" s="73">
        <v>14.261866666666666</v>
      </c>
      <c r="D138" s="74">
        <v>21.865998220974632</v>
      </c>
      <c r="E138" s="73">
        <v>965.44382022472291</v>
      </c>
      <c r="F138" s="75">
        <v>1.3875166066110818E-2</v>
      </c>
      <c r="G138" s="76">
        <v>2.1275909195410916E-2</v>
      </c>
      <c r="H138" s="72" t="s">
        <v>23</v>
      </c>
      <c r="I138" s="72" t="s">
        <v>272</v>
      </c>
    </row>
    <row r="139" spans="1:9" ht="12.75" customHeight="1" x14ac:dyDescent="0.2">
      <c r="A139" s="71">
        <v>123</v>
      </c>
      <c r="B139" s="72" t="s">
        <v>271</v>
      </c>
      <c r="C139" s="73">
        <v>14.376300000000001</v>
      </c>
      <c r="D139" s="74">
        <v>33.581441666667757</v>
      </c>
      <c r="E139" s="73">
        <v>1118.8077669902941</v>
      </c>
      <c r="F139" s="75">
        <v>2.1309252619323576E-2</v>
      </c>
      <c r="G139" s="76">
        <v>2.4655657801056989E-2</v>
      </c>
      <c r="H139" s="72" t="s">
        <v>23</v>
      </c>
      <c r="I139" s="72" t="s">
        <v>272</v>
      </c>
    </row>
    <row r="140" spans="1:9" ht="12.75" customHeight="1" x14ac:dyDescent="0.2">
      <c r="A140" s="71">
        <v>125</v>
      </c>
      <c r="B140" s="72" t="s">
        <v>273</v>
      </c>
      <c r="C140" s="73">
        <v>14.502183333333333</v>
      </c>
      <c r="D140" s="74">
        <v>2183.468549999995</v>
      </c>
      <c r="E140" s="73">
        <v>70747.255011708257</v>
      </c>
      <c r="F140" s="75">
        <v>1.3855296440259994</v>
      </c>
      <c r="G140" s="76">
        <v>1.5590883093573711</v>
      </c>
      <c r="H140" s="72" t="s">
        <v>274</v>
      </c>
      <c r="I140" s="72" t="s">
        <v>230</v>
      </c>
    </row>
    <row r="141" spans="1:9" ht="12.75" customHeight="1" x14ac:dyDescent="0.2">
      <c r="A141" s="71">
        <v>128</v>
      </c>
      <c r="B141" s="72" t="s">
        <v>275</v>
      </c>
      <c r="C141" s="73">
        <v>14.794016666666668</v>
      </c>
      <c r="D141" s="74">
        <v>172.30214915176603</v>
      </c>
      <c r="E141" s="73">
        <v>7167.4264099037155</v>
      </c>
      <c r="F141" s="75">
        <v>0.10933509226829101</v>
      </c>
      <c r="G141" s="76">
        <v>0.15795172154751186</v>
      </c>
      <c r="H141" s="72" t="s">
        <v>23</v>
      </c>
      <c r="I141" s="72" t="s">
        <v>276</v>
      </c>
    </row>
    <row r="142" spans="1:9" ht="12.75" customHeight="1" x14ac:dyDescent="0.2">
      <c r="A142" s="71">
        <v>130</v>
      </c>
      <c r="B142" s="72" t="s">
        <v>277</v>
      </c>
      <c r="C142" s="73">
        <v>14.897</v>
      </c>
      <c r="D142" s="74">
        <v>115.13189704263847</v>
      </c>
      <c r="E142" s="73">
        <v>4189.9160935350756</v>
      </c>
      <c r="F142" s="75">
        <v>7.3057455453400172E-2</v>
      </c>
      <c r="G142" s="76">
        <v>9.2335019889291242E-2</v>
      </c>
      <c r="H142" s="72" t="s">
        <v>23</v>
      </c>
      <c r="I142" s="72" t="s">
        <v>278</v>
      </c>
    </row>
    <row r="143" spans="1:9" ht="12.75" customHeight="1" x14ac:dyDescent="0.2">
      <c r="A143" s="71">
        <v>131</v>
      </c>
      <c r="B143" s="72" t="s">
        <v>279</v>
      </c>
      <c r="C143" s="73">
        <v>14.931333333333333</v>
      </c>
      <c r="D143" s="74">
        <v>99.096017514902229</v>
      </c>
      <c r="E143" s="73">
        <v>3650.4195323246208</v>
      </c>
      <c r="F143" s="75">
        <v>6.2881817039140323E-2</v>
      </c>
      <c r="G143" s="76">
        <v>8.04458973871882E-2</v>
      </c>
      <c r="H143" s="72" t="s">
        <v>280</v>
      </c>
      <c r="I143" s="72" t="s">
        <v>281</v>
      </c>
    </row>
    <row r="144" spans="1:9" ht="12.75" customHeight="1" x14ac:dyDescent="0.2">
      <c r="A144" s="71">
        <v>136</v>
      </c>
      <c r="B144" s="72" t="s">
        <v>282</v>
      </c>
      <c r="C144" s="73">
        <v>15.331883333333334</v>
      </c>
      <c r="D144" s="74">
        <v>31.832421589952432</v>
      </c>
      <c r="E144" s="73">
        <v>1081.146436201208</v>
      </c>
      <c r="F144" s="75">
        <v>2.0199404179195725E-2</v>
      </c>
      <c r="G144" s="76">
        <v>2.3825698525062642E-2</v>
      </c>
      <c r="H144" s="72" t="s">
        <v>23</v>
      </c>
      <c r="I144" s="72" t="s">
        <v>283</v>
      </c>
    </row>
    <row r="145" spans="1:9" ht="12.75" customHeight="1" x14ac:dyDescent="0.2">
      <c r="A145" s="71">
        <v>141</v>
      </c>
      <c r="B145" s="72" t="s">
        <v>284</v>
      </c>
      <c r="C145" s="73">
        <v>15.595083333333333</v>
      </c>
      <c r="D145" s="74">
        <v>142.16028731018909</v>
      </c>
      <c r="E145" s="73">
        <v>5411.2131240391645</v>
      </c>
      <c r="F145" s="75">
        <v>9.0208440268819329E-2</v>
      </c>
      <c r="G145" s="76">
        <v>0.1192492785724964</v>
      </c>
      <c r="H145" s="72" t="s">
        <v>285</v>
      </c>
      <c r="I145" s="72" t="s">
        <v>286</v>
      </c>
    </row>
    <row r="146" spans="1:9" ht="12.75" customHeight="1" x14ac:dyDescent="0.2">
      <c r="A146" s="71">
        <v>144</v>
      </c>
      <c r="B146" s="72" t="s">
        <v>287</v>
      </c>
      <c r="C146" s="73">
        <v>15.772466666666666</v>
      </c>
      <c r="D146" s="74">
        <v>9521.449075718836</v>
      </c>
      <c r="E146" s="73">
        <v>329094.36220990325</v>
      </c>
      <c r="F146" s="75">
        <v>6.041877703478912</v>
      </c>
      <c r="G146" s="76">
        <v>7.2523968981124058</v>
      </c>
      <c r="H146" s="72" t="s">
        <v>288</v>
      </c>
      <c r="I146" s="72" t="s">
        <v>289</v>
      </c>
    </row>
    <row r="147" spans="1:9" ht="12.75" customHeight="1" x14ac:dyDescent="0.2">
      <c r="A147" s="71">
        <v>147</v>
      </c>
      <c r="B147" s="72" t="s">
        <v>290</v>
      </c>
      <c r="C147" s="73">
        <v>16.007066666666667</v>
      </c>
      <c r="D147" s="74">
        <v>1617.3028097257384</v>
      </c>
      <c r="E147" s="73">
        <v>35553.699999999997</v>
      </c>
      <c r="F147" s="75">
        <v>1.0262666646797163</v>
      </c>
      <c r="G147" s="76">
        <v>0.78351249126521705</v>
      </c>
      <c r="H147" s="72" t="s">
        <v>291</v>
      </c>
      <c r="I147" s="72" t="s">
        <v>292</v>
      </c>
    </row>
    <row r="148" spans="1:9" ht="12.75" customHeight="1" x14ac:dyDescent="0.2">
      <c r="A148" s="71">
        <v>148</v>
      </c>
      <c r="B148" s="72" t="s">
        <v>282</v>
      </c>
      <c r="C148" s="73">
        <v>16.087183333333332</v>
      </c>
      <c r="D148" s="74">
        <v>70.423706940939923</v>
      </c>
      <c r="E148" s="73">
        <v>2244.601262135915</v>
      </c>
      <c r="F148" s="75">
        <v>4.4687675308569028E-2</v>
      </c>
      <c r="G148" s="76">
        <v>4.9465263159478801E-2</v>
      </c>
      <c r="H148" s="72" t="s">
        <v>23</v>
      </c>
      <c r="I148" s="72" t="s">
        <v>283</v>
      </c>
    </row>
    <row r="149" spans="1:9" ht="12.75" customHeight="1" x14ac:dyDescent="0.2">
      <c r="A149" s="71">
        <v>149</v>
      </c>
      <c r="B149" s="72" t="s">
        <v>293</v>
      </c>
      <c r="C149" s="73">
        <v>16.190166666666666</v>
      </c>
      <c r="D149" s="74">
        <v>59.905058333332505</v>
      </c>
      <c r="E149" s="73">
        <v>4649.6196854979662</v>
      </c>
      <c r="F149" s="75">
        <v>3.8013020223231109E-2</v>
      </c>
      <c r="G149" s="76">
        <v>0.10246570970729649</v>
      </c>
      <c r="H149" s="72" t="s">
        <v>294</v>
      </c>
      <c r="I149" s="72" t="s">
        <v>295</v>
      </c>
    </row>
    <row r="150" spans="1:9" ht="12.75" customHeight="1" x14ac:dyDescent="0.2">
      <c r="A150" s="71">
        <v>151</v>
      </c>
      <c r="B150" s="72" t="s">
        <v>296</v>
      </c>
      <c r="C150" s="73">
        <v>16.276</v>
      </c>
      <c r="D150" s="74">
        <v>481.38195574109176</v>
      </c>
      <c r="E150" s="73">
        <v>16891.399999999983</v>
      </c>
      <c r="F150" s="75">
        <v>0.30546305316762901</v>
      </c>
      <c r="G150" s="76">
        <v>0.37224319536243139</v>
      </c>
      <c r="H150" s="72" t="s">
        <v>297</v>
      </c>
      <c r="I150" s="72" t="s">
        <v>298</v>
      </c>
    </row>
    <row r="151" spans="1:9" ht="12.75" customHeight="1" x14ac:dyDescent="0.2">
      <c r="A151" s="71">
        <v>152</v>
      </c>
      <c r="B151" s="72" t="s">
        <v>282</v>
      </c>
      <c r="C151" s="73">
        <v>16.350383333333333</v>
      </c>
      <c r="D151" s="74">
        <v>53.275783333332981</v>
      </c>
      <c r="E151" s="73">
        <v>1851.3935333527525</v>
      </c>
      <c r="F151" s="75">
        <v>3.3806384395616458E-2</v>
      </c>
      <c r="G151" s="76">
        <v>4.0799971863112086E-2</v>
      </c>
      <c r="H151" s="72" t="s">
        <v>23</v>
      </c>
      <c r="I151" s="72" t="s">
        <v>283</v>
      </c>
    </row>
    <row r="152" spans="1:9" ht="12.75" customHeight="1" x14ac:dyDescent="0.2">
      <c r="A152" s="71">
        <v>153</v>
      </c>
      <c r="B152" s="72" t="s">
        <v>282</v>
      </c>
      <c r="C152" s="73">
        <v>16.430500000000002</v>
      </c>
      <c r="D152" s="74">
        <v>80.011381157593632</v>
      </c>
      <c r="E152" s="73">
        <v>4197.8826501965077</v>
      </c>
      <c r="F152" s="75">
        <v>5.0771576468692216E-2</v>
      </c>
      <c r="G152" s="76">
        <v>9.2510582394926488E-2</v>
      </c>
      <c r="H152" s="72" t="s">
        <v>23</v>
      </c>
      <c r="I152" s="72" t="s">
        <v>283</v>
      </c>
    </row>
    <row r="153" spans="1:9" ht="12.75" customHeight="1" x14ac:dyDescent="0.2">
      <c r="A153" s="71">
        <v>157</v>
      </c>
      <c r="B153" s="72" t="s">
        <v>299</v>
      </c>
      <c r="C153" s="73">
        <v>16.659366666666667</v>
      </c>
      <c r="D153" s="74">
        <v>1604.3197412783456</v>
      </c>
      <c r="E153" s="73">
        <v>44617.446939921392</v>
      </c>
      <c r="F153" s="75">
        <v>1.018028201064437</v>
      </c>
      <c r="G153" s="76">
        <v>0.98325426061961063</v>
      </c>
      <c r="H153" s="72" t="s">
        <v>300</v>
      </c>
      <c r="I153" s="72" t="s">
        <v>301</v>
      </c>
    </row>
    <row r="154" spans="1:9" ht="12.75" customHeight="1" x14ac:dyDescent="0.2">
      <c r="A154" s="71">
        <v>158</v>
      </c>
      <c r="B154" s="72" t="s">
        <v>302</v>
      </c>
      <c r="C154" s="73">
        <v>16.710866666666668</v>
      </c>
      <c r="D154" s="74">
        <v>357.48369280483234</v>
      </c>
      <c r="E154" s="73">
        <v>9129.8352049410369</v>
      </c>
      <c r="F154" s="75">
        <v>0.22684286138995691</v>
      </c>
      <c r="G154" s="76">
        <v>0.20119818545648516</v>
      </c>
      <c r="H154" s="72" t="s">
        <v>23</v>
      </c>
      <c r="I154" s="72" t="s">
        <v>303</v>
      </c>
    </row>
    <row r="155" spans="1:9" ht="12.75" customHeight="1" x14ac:dyDescent="0.2">
      <c r="A155" s="71">
        <v>159</v>
      </c>
      <c r="B155" s="72" t="s">
        <v>282</v>
      </c>
      <c r="C155" s="73">
        <v>16.745200000000001</v>
      </c>
      <c r="D155" s="74">
        <v>66.510966666668764</v>
      </c>
      <c r="E155" s="73">
        <v>2886.5637290604081</v>
      </c>
      <c r="F155" s="75">
        <v>4.2204828628969668E-2</v>
      </c>
      <c r="G155" s="76">
        <v>6.3612471797645134E-2</v>
      </c>
      <c r="H155" s="72" t="s">
        <v>23</v>
      </c>
      <c r="I155" s="72" t="s">
        <v>283</v>
      </c>
    </row>
    <row r="156" spans="1:9" ht="12.75" customHeight="1" x14ac:dyDescent="0.2">
      <c r="A156" s="71">
        <v>160</v>
      </c>
      <c r="B156" s="72" t="s">
        <v>304</v>
      </c>
      <c r="C156" s="73">
        <v>16.796700000000001</v>
      </c>
      <c r="D156" s="74">
        <v>55.388268430652431</v>
      </c>
      <c r="E156" s="73">
        <v>2069.4823133071222</v>
      </c>
      <c r="F156" s="75">
        <v>3.5146871175194411E-2</v>
      </c>
      <c r="G156" s="76">
        <v>4.5606090025189165E-2</v>
      </c>
      <c r="H156" s="72" t="s">
        <v>23</v>
      </c>
      <c r="I156" s="72" t="s">
        <v>305</v>
      </c>
    </row>
    <row r="157" spans="1:9" ht="12.75" customHeight="1" x14ac:dyDescent="0.2">
      <c r="A157" s="71">
        <v>161</v>
      </c>
      <c r="B157" s="72" t="s">
        <v>306</v>
      </c>
      <c r="C157" s="73">
        <v>16.842483333333334</v>
      </c>
      <c r="D157" s="74">
        <v>559.10405875796584</v>
      </c>
      <c r="E157" s="73">
        <v>22721.117770915211</v>
      </c>
      <c r="F157" s="75">
        <v>0.35478195804762913</v>
      </c>
      <c r="G157" s="76">
        <v>0.50071524451801563</v>
      </c>
      <c r="H157" s="72" t="s">
        <v>307</v>
      </c>
      <c r="I157" s="72" t="s">
        <v>308</v>
      </c>
    </row>
    <row r="158" spans="1:9" ht="12.75" customHeight="1" x14ac:dyDescent="0.2">
      <c r="A158" s="71">
        <v>162</v>
      </c>
      <c r="B158" s="72" t="s">
        <v>304</v>
      </c>
      <c r="C158" s="73">
        <v>16.882533333333335</v>
      </c>
      <c r="D158" s="74">
        <v>38.663941666666403</v>
      </c>
      <c r="E158" s="73">
        <v>1970.2800970873777</v>
      </c>
      <c r="F158" s="75">
        <v>2.4534375516449932E-2</v>
      </c>
      <c r="G158" s="76">
        <v>4.3419927246930848E-2</v>
      </c>
      <c r="H158" s="72" t="s">
        <v>23</v>
      </c>
      <c r="I158" s="72" t="s">
        <v>305</v>
      </c>
    </row>
    <row r="159" spans="1:9" ht="12.75" customHeight="1" x14ac:dyDescent="0.2">
      <c r="A159" s="71">
        <v>163</v>
      </c>
      <c r="B159" s="72" t="s">
        <v>302</v>
      </c>
      <c r="C159" s="73">
        <v>16.93975</v>
      </c>
      <c r="D159" s="74">
        <v>240.12063156434715</v>
      </c>
      <c r="E159" s="73">
        <v>11266.117324944647</v>
      </c>
      <c r="F159" s="75">
        <v>0.15236961080783545</v>
      </c>
      <c r="G159" s="76">
        <v>0.24827637213999124</v>
      </c>
      <c r="H159" s="72" t="s">
        <v>23</v>
      </c>
      <c r="I159" s="72" t="s">
        <v>303</v>
      </c>
    </row>
    <row r="160" spans="1:9" ht="12.75" customHeight="1" x14ac:dyDescent="0.2">
      <c r="A160" s="71">
        <v>164</v>
      </c>
      <c r="B160" s="72" t="s">
        <v>302</v>
      </c>
      <c r="C160" s="73">
        <v>17.019850000000002</v>
      </c>
      <c r="D160" s="74">
        <v>295.35162676900745</v>
      </c>
      <c r="E160" s="73">
        <v>8638.7765350110531</v>
      </c>
      <c r="F160" s="75">
        <v>0.18741668356055033</v>
      </c>
      <c r="G160" s="76">
        <v>0.19037651002371092</v>
      </c>
      <c r="H160" s="72" t="s">
        <v>23</v>
      </c>
      <c r="I160" s="72" t="s">
        <v>303</v>
      </c>
    </row>
    <row r="161" spans="1:9" ht="12.75" customHeight="1" x14ac:dyDescent="0.2">
      <c r="A161" s="71">
        <v>168</v>
      </c>
      <c r="B161" s="72" t="s">
        <v>304</v>
      </c>
      <c r="C161" s="73">
        <v>17.208683333333333</v>
      </c>
      <c r="D161" s="74">
        <v>116.54597287084096</v>
      </c>
      <c r="E161" s="73">
        <v>5470.8523651702326</v>
      </c>
      <c r="F161" s="75">
        <v>7.3954763536392784E-2</v>
      </c>
      <c r="G161" s="76">
        <v>0.12056357470470683</v>
      </c>
      <c r="H161" s="72" t="s">
        <v>23</v>
      </c>
      <c r="I161" s="72" t="s">
        <v>305</v>
      </c>
    </row>
    <row r="162" spans="1:9" ht="12.75" customHeight="1" x14ac:dyDescent="0.2">
      <c r="A162" s="71">
        <v>169</v>
      </c>
      <c r="B162" s="72" t="s">
        <v>282</v>
      </c>
      <c r="C162" s="73">
        <v>17.254450000000002</v>
      </c>
      <c r="D162" s="74">
        <v>139.3025650873783</v>
      </c>
      <c r="E162" s="73">
        <v>5228.0603595460434</v>
      </c>
      <c r="F162" s="75">
        <v>8.839505996888497E-2</v>
      </c>
      <c r="G162" s="76">
        <v>0.11521306071640497</v>
      </c>
      <c r="H162" s="72" t="s">
        <v>23</v>
      </c>
      <c r="I162" s="72" t="s">
        <v>283</v>
      </c>
    </row>
    <row r="163" spans="1:9" ht="12.75" customHeight="1" x14ac:dyDescent="0.2">
      <c r="A163" s="71">
        <v>170</v>
      </c>
      <c r="B163" s="72" t="s">
        <v>304</v>
      </c>
      <c r="C163" s="73">
        <v>17.277350000000002</v>
      </c>
      <c r="D163" s="74">
        <v>58.080357694755435</v>
      </c>
      <c r="E163" s="73">
        <v>3044.6174550567412</v>
      </c>
      <c r="F163" s="75">
        <v>3.6855148347209946E-2</v>
      </c>
      <c r="G163" s="76">
        <v>6.7095571126523326E-2</v>
      </c>
      <c r="H163" s="72" t="s">
        <v>23</v>
      </c>
      <c r="I163" s="72" t="s">
        <v>305</v>
      </c>
    </row>
    <row r="164" spans="1:9" ht="12.75" customHeight="1" x14ac:dyDescent="0.2">
      <c r="A164" s="71">
        <v>171</v>
      </c>
      <c r="B164" s="72" t="s">
        <v>304</v>
      </c>
      <c r="C164" s="73">
        <v>17.397500000000001</v>
      </c>
      <c r="D164" s="74">
        <v>85.690841666664141</v>
      </c>
      <c r="E164" s="73">
        <v>3986.6712442778335</v>
      </c>
      <c r="F164" s="75">
        <v>5.4375503302166513E-2</v>
      </c>
      <c r="G164" s="76">
        <v>8.7856023942923772E-2</v>
      </c>
      <c r="H164" s="72" t="s">
        <v>23</v>
      </c>
      <c r="I164" s="72" t="s">
        <v>305</v>
      </c>
    </row>
    <row r="165" spans="1:9" ht="12.75" customHeight="1" x14ac:dyDescent="0.2">
      <c r="A165" s="71">
        <v>172</v>
      </c>
      <c r="B165" s="72" t="s">
        <v>309</v>
      </c>
      <c r="C165" s="73">
        <v>17.443283333333333</v>
      </c>
      <c r="D165" s="74">
        <v>1848.0776666667248</v>
      </c>
      <c r="E165" s="73">
        <v>50042.000000000015</v>
      </c>
      <c r="F165" s="75">
        <v>1.1727058727862842</v>
      </c>
      <c r="G165" s="76">
        <v>1.1027975172174489</v>
      </c>
      <c r="H165" s="72" t="s">
        <v>23</v>
      </c>
      <c r="I165" s="72" t="s">
        <v>310</v>
      </c>
    </row>
    <row r="166" spans="1:9" ht="12.75" customHeight="1" x14ac:dyDescent="0.2">
      <c r="A166" s="71">
        <v>173</v>
      </c>
      <c r="B166" s="72" t="s">
        <v>304</v>
      </c>
      <c r="C166" s="73">
        <v>17.523383333333335</v>
      </c>
      <c r="D166" s="74">
        <v>237.4259999999997</v>
      </c>
      <c r="E166" s="73">
        <v>5278.5242718446461</v>
      </c>
      <c r="F166" s="75">
        <v>0.1506597204079341</v>
      </c>
      <c r="G166" s="76">
        <v>0.11632515610012223</v>
      </c>
      <c r="H166" s="72" t="s">
        <v>23</v>
      </c>
      <c r="I166" s="72" t="s">
        <v>305</v>
      </c>
    </row>
    <row r="167" spans="1:9" ht="12.75" customHeight="1" x14ac:dyDescent="0.2">
      <c r="A167" s="71">
        <v>174</v>
      </c>
      <c r="B167" s="72" t="s">
        <v>304</v>
      </c>
      <c r="C167" s="73">
        <v>17.61495</v>
      </c>
      <c r="D167" s="74">
        <v>18.796792626409456</v>
      </c>
      <c r="E167" s="73">
        <v>1936.4971991933744</v>
      </c>
      <c r="F167" s="75">
        <v>1.1927588055481579E-2</v>
      </c>
      <c r="G167" s="76">
        <v>4.2675438698872865E-2</v>
      </c>
      <c r="H167" s="72" t="s">
        <v>23</v>
      </c>
      <c r="I167" s="72" t="s">
        <v>305</v>
      </c>
    </row>
    <row r="168" spans="1:9" ht="12.75" customHeight="1" x14ac:dyDescent="0.2">
      <c r="A168" s="71">
        <v>175</v>
      </c>
      <c r="B168" s="72" t="s">
        <v>304</v>
      </c>
      <c r="C168" s="73">
        <v>17.649266666666666</v>
      </c>
      <c r="D168" s="74">
        <v>71.983399040258291</v>
      </c>
      <c r="E168" s="73">
        <v>2839.7784001792606</v>
      </c>
      <c r="F168" s="75">
        <v>4.5677384841668896E-2</v>
      </c>
      <c r="G168" s="76">
        <v>6.2581442971212708E-2</v>
      </c>
      <c r="H168" s="72" t="s">
        <v>23</v>
      </c>
      <c r="I168" s="72" t="s">
        <v>305</v>
      </c>
    </row>
    <row r="169" spans="1:9" ht="12.75" customHeight="1" x14ac:dyDescent="0.2">
      <c r="A169" s="71">
        <v>176</v>
      </c>
      <c r="B169" s="72" t="s">
        <v>304</v>
      </c>
      <c r="C169" s="73">
        <v>17.706500000000002</v>
      </c>
      <c r="D169" s="74">
        <v>47.440371609155477</v>
      </c>
      <c r="E169" s="73">
        <v>3377.6775711404734</v>
      </c>
      <c r="F169" s="75">
        <v>3.0103498027528024E-2</v>
      </c>
      <c r="G169" s="76">
        <v>7.4435363083305547E-2</v>
      </c>
      <c r="H169" s="72" t="s">
        <v>23</v>
      </c>
      <c r="I169" s="72" t="s">
        <v>305</v>
      </c>
    </row>
    <row r="170" spans="1:9" ht="12.75" customHeight="1" x14ac:dyDescent="0.2">
      <c r="A170" s="71">
        <v>177</v>
      </c>
      <c r="B170" s="72" t="s">
        <v>304</v>
      </c>
      <c r="C170" s="73">
        <v>17.746549999999999</v>
      </c>
      <c r="D170" s="74">
        <v>71.048895057511118</v>
      </c>
      <c r="E170" s="73">
        <v>3468.3224288595266</v>
      </c>
      <c r="F170" s="75">
        <v>4.5084391198340915E-2</v>
      </c>
      <c r="G170" s="76">
        <v>7.6432943596496467E-2</v>
      </c>
      <c r="H170" s="72" t="s">
        <v>23</v>
      </c>
      <c r="I170" s="72" t="s">
        <v>305</v>
      </c>
    </row>
    <row r="171" spans="1:9" ht="12.75" customHeight="1" x14ac:dyDescent="0.2">
      <c r="A171" s="71">
        <v>178</v>
      </c>
      <c r="B171" s="72" t="s">
        <v>304</v>
      </c>
      <c r="C171" s="73">
        <v>17.809483333333333</v>
      </c>
      <c r="D171" s="74">
        <v>147.61558610870975</v>
      </c>
      <c r="E171" s="73">
        <v>4350.0005394325381</v>
      </c>
      <c r="F171" s="75">
        <v>9.3670124295534438E-2</v>
      </c>
      <c r="G171" s="76">
        <v>9.5862871083904816E-2</v>
      </c>
      <c r="H171" s="72" t="s">
        <v>23</v>
      </c>
      <c r="I171" s="72" t="s">
        <v>305</v>
      </c>
    </row>
    <row r="172" spans="1:9" ht="12.75" customHeight="1" x14ac:dyDescent="0.2">
      <c r="A172" s="71">
        <v>179</v>
      </c>
      <c r="B172" s="72" t="s">
        <v>304</v>
      </c>
      <c r="C172" s="73">
        <v>17.866716666666669</v>
      </c>
      <c r="D172" s="74">
        <v>275.24623889129208</v>
      </c>
      <c r="E172" s="73">
        <v>10704.999029021386</v>
      </c>
      <c r="F172" s="75">
        <v>0.17465872058956286</v>
      </c>
      <c r="G172" s="76">
        <v>0.23591076198033617</v>
      </c>
      <c r="H172" s="72" t="s">
        <v>23</v>
      </c>
      <c r="I172" s="72" t="s">
        <v>305</v>
      </c>
    </row>
    <row r="173" spans="1:9" ht="12.75" customHeight="1" x14ac:dyDescent="0.2">
      <c r="A173" s="71">
        <v>180</v>
      </c>
      <c r="B173" s="72" t="s">
        <v>304</v>
      </c>
      <c r="C173" s="73">
        <v>17.906766666666666</v>
      </c>
      <c r="D173" s="74">
        <v>12.257225000000005</v>
      </c>
      <c r="E173" s="73">
        <v>1096.6941747572782</v>
      </c>
      <c r="F173" s="75">
        <v>7.7778764392995841E-3</v>
      </c>
      <c r="G173" s="76">
        <v>2.4168330863457994E-2</v>
      </c>
      <c r="H173" s="72" t="s">
        <v>23</v>
      </c>
      <c r="I173" s="72" t="s">
        <v>305</v>
      </c>
    </row>
    <row r="174" spans="1:9" ht="12.75" customHeight="1" x14ac:dyDescent="0.2">
      <c r="A174" s="71">
        <v>181</v>
      </c>
      <c r="B174" s="72" t="s">
        <v>304</v>
      </c>
      <c r="C174" s="73">
        <v>17.952533333333335</v>
      </c>
      <c r="D174" s="74">
        <v>1060.4780250000492</v>
      </c>
      <c r="E174" s="73">
        <v>41084.893387707474</v>
      </c>
      <c r="F174" s="75">
        <v>0.67293103006943533</v>
      </c>
      <c r="G174" s="76">
        <v>0.90540582756699106</v>
      </c>
      <c r="H174" s="72" t="s">
        <v>23</v>
      </c>
      <c r="I174" s="72" t="s">
        <v>305</v>
      </c>
    </row>
    <row r="175" spans="1:9" ht="12.75" customHeight="1" x14ac:dyDescent="0.2">
      <c r="A175" s="71">
        <v>182</v>
      </c>
      <c r="B175" s="72" t="s">
        <v>304</v>
      </c>
      <c r="C175" s="73">
        <v>18.0212</v>
      </c>
      <c r="D175" s="74">
        <v>69.336091666672246</v>
      </c>
      <c r="E175" s="73">
        <v>3572.9198834668859</v>
      </c>
      <c r="F175" s="75">
        <v>4.3997524216723288E-2</v>
      </c>
      <c r="G175" s="76">
        <v>7.8738003611049462E-2</v>
      </c>
      <c r="H175" s="72" t="s">
        <v>23</v>
      </c>
      <c r="I175" s="72" t="s">
        <v>305</v>
      </c>
    </row>
    <row r="176" spans="1:9" ht="12.75" customHeight="1" x14ac:dyDescent="0.2">
      <c r="A176" s="71">
        <v>183</v>
      </c>
      <c r="B176" s="72" t="s">
        <v>309</v>
      </c>
      <c r="C176" s="73">
        <v>18.066983333333333</v>
      </c>
      <c r="D176" s="74">
        <v>700.24839999998471</v>
      </c>
      <c r="E176" s="73">
        <v>29758.319307331301</v>
      </c>
      <c r="F176" s="75">
        <v>0.44434572523692023</v>
      </c>
      <c r="G176" s="76">
        <v>0.65579714337334682</v>
      </c>
      <c r="H176" s="72" t="s">
        <v>23</v>
      </c>
      <c r="I176" s="72" t="s">
        <v>310</v>
      </c>
    </row>
    <row r="177" spans="1:9" ht="12.75" customHeight="1" x14ac:dyDescent="0.2">
      <c r="A177" s="71">
        <v>184</v>
      </c>
      <c r="B177" s="72" t="s">
        <v>304</v>
      </c>
      <c r="C177" s="73">
        <v>18.129916666666666</v>
      </c>
      <c r="D177" s="74">
        <v>35.895183333332625</v>
      </c>
      <c r="E177" s="73">
        <v>2504.1072261072113</v>
      </c>
      <c r="F177" s="75">
        <v>2.2777447646809685E-2</v>
      </c>
      <c r="G177" s="76">
        <v>5.5184109983559902E-2</v>
      </c>
      <c r="H177" s="72" t="s">
        <v>23</v>
      </c>
      <c r="I177" s="72" t="s">
        <v>305</v>
      </c>
    </row>
    <row r="178" spans="1:9" ht="12.75" customHeight="1" x14ac:dyDescent="0.2">
      <c r="A178" s="71">
        <v>185</v>
      </c>
      <c r="B178" s="72" t="s">
        <v>304</v>
      </c>
      <c r="C178" s="73">
        <v>18.2043</v>
      </c>
      <c r="D178" s="74">
        <v>242.17971708849154</v>
      </c>
      <c r="E178" s="73">
        <v>7956.1568133511901</v>
      </c>
      <c r="F178" s="75">
        <v>0.15367621265162518</v>
      </c>
      <c r="G178" s="76">
        <v>0.17533331961864793</v>
      </c>
      <c r="H178" s="72" t="s">
        <v>23</v>
      </c>
      <c r="I178" s="72" t="s">
        <v>305</v>
      </c>
    </row>
    <row r="179" spans="1:9" ht="12.75" customHeight="1" x14ac:dyDescent="0.2">
      <c r="A179" s="71">
        <v>186</v>
      </c>
      <c r="B179" s="72" t="s">
        <v>304</v>
      </c>
      <c r="C179" s="73">
        <v>18.2272</v>
      </c>
      <c r="D179" s="74">
        <v>149.35358256906818</v>
      </c>
      <c r="E179" s="73">
        <v>6499.3704636700058</v>
      </c>
      <c r="F179" s="75">
        <v>9.4772977651053969E-2</v>
      </c>
      <c r="G179" s="76">
        <v>0.14322947945349304</v>
      </c>
      <c r="H179" s="72" t="s">
        <v>23</v>
      </c>
      <c r="I179" s="72" t="s">
        <v>305</v>
      </c>
    </row>
    <row r="180" spans="1:9" ht="12.75" customHeight="1" x14ac:dyDescent="0.2">
      <c r="A180" s="71">
        <v>187</v>
      </c>
      <c r="B180" s="72" t="s">
        <v>304</v>
      </c>
      <c r="C180" s="73">
        <v>18.255800000000001</v>
      </c>
      <c r="D180" s="74">
        <v>214.28771503123585</v>
      </c>
      <c r="E180" s="73">
        <v>6241.1045422341049</v>
      </c>
      <c r="F180" s="75">
        <v>0.13597721914811811</v>
      </c>
      <c r="G180" s="76">
        <v>0.13753795999101376</v>
      </c>
      <c r="H180" s="72" t="s">
        <v>23</v>
      </c>
      <c r="I180" s="72" t="s">
        <v>305</v>
      </c>
    </row>
    <row r="181" spans="1:9" ht="12.75" customHeight="1" x14ac:dyDescent="0.2">
      <c r="A181" s="71">
        <v>188</v>
      </c>
      <c r="B181" s="72" t="s">
        <v>311</v>
      </c>
      <c r="C181" s="73">
        <v>18.307300000000001</v>
      </c>
      <c r="D181" s="74">
        <v>187.41047320841699</v>
      </c>
      <c r="E181" s="73">
        <v>6615.0522711170197</v>
      </c>
      <c r="F181" s="75">
        <v>0.11892214624808893</v>
      </c>
      <c r="G181" s="76">
        <v>0.14577881021644806</v>
      </c>
      <c r="H181" s="72" t="s">
        <v>312</v>
      </c>
      <c r="I181" s="72" t="s">
        <v>313</v>
      </c>
    </row>
    <row r="182" spans="1:9" ht="12.75" customHeight="1" x14ac:dyDescent="0.2">
      <c r="A182" s="71">
        <v>189</v>
      </c>
      <c r="B182" s="72" t="s">
        <v>304</v>
      </c>
      <c r="C182" s="73">
        <v>18.335916666666666</v>
      </c>
      <c r="D182" s="74">
        <v>176.99134543611694</v>
      </c>
      <c r="E182" s="73">
        <v>7545.4750059041107</v>
      </c>
      <c r="F182" s="75">
        <v>0.11231064254980286</v>
      </c>
      <c r="G182" s="76">
        <v>0.16628294438146687</v>
      </c>
      <c r="H182" s="72" t="s">
        <v>23</v>
      </c>
      <c r="I182" s="72" t="s">
        <v>305</v>
      </c>
    </row>
    <row r="183" spans="1:9" ht="12.75" customHeight="1" x14ac:dyDescent="0.2">
      <c r="A183" s="71">
        <v>190</v>
      </c>
      <c r="B183" s="72" t="s">
        <v>311</v>
      </c>
      <c r="C183" s="73">
        <v>18.370249999999999</v>
      </c>
      <c r="D183" s="74">
        <v>116.85431666666977</v>
      </c>
      <c r="E183" s="73">
        <v>4454.7774945375422</v>
      </c>
      <c r="F183" s="75">
        <v>7.4150424458402545E-2</v>
      </c>
      <c r="G183" s="76">
        <v>9.8171886829706401E-2</v>
      </c>
      <c r="H183" s="72" t="s">
        <v>312</v>
      </c>
      <c r="I183" s="72" t="s">
        <v>313</v>
      </c>
    </row>
    <row r="184" spans="1:9" ht="12.75" customHeight="1" x14ac:dyDescent="0.2">
      <c r="A184" s="71">
        <v>191</v>
      </c>
      <c r="B184" s="72" t="s">
        <v>304</v>
      </c>
      <c r="C184" s="73">
        <v>18.45035</v>
      </c>
      <c r="D184" s="74">
        <v>145.52837500000896</v>
      </c>
      <c r="E184" s="73">
        <v>5736.8052420822787</v>
      </c>
      <c r="F184" s="75">
        <v>9.2345675237431299E-2</v>
      </c>
      <c r="G184" s="76">
        <v>0.12642449497878544</v>
      </c>
      <c r="H184" s="72" t="s">
        <v>23</v>
      </c>
      <c r="I184" s="72" t="s">
        <v>305</v>
      </c>
    </row>
    <row r="185" spans="1:9" ht="12.75" customHeight="1" x14ac:dyDescent="0.2">
      <c r="A185" s="71">
        <v>192</v>
      </c>
      <c r="B185" s="72" t="s">
        <v>311</v>
      </c>
      <c r="C185" s="73">
        <v>18.478966666666668</v>
      </c>
      <c r="D185" s="74">
        <v>29.160874999999351</v>
      </c>
      <c r="E185" s="73">
        <v>1867.046579330432</v>
      </c>
      <c r="F185" s="75">
        <v>1.8504162452092958E-2</v>
      </c>
      <c r="G185" s="76">
        <v>4.114492490737641E-2</v>
      </c>
      <c r="H185" s="72" t="s">
        <v>312</v>
      </c>
      <c r="I185" s="72" t="s">
        <v>313</v>
      </c>
    </row>
    <row r="186" spans="1:9" ht="12.75" customHeight="1" x14ac:dyDescent="0.2">
      <c r="A186" s="71">
        <v>193</v>
      </c>
      <c r="B186" s="72" t="s">
        <v>304</v>
      </c>
      <c r="C186" s="73">
        <v>18.576233333333334</v>
      </c>
      <c r="D186" s="74">
        <v>450.69094442398091</v>
      </c>
      <c r="E186" s="73">
        <v>11688.458361891717</v>
      </c>
      <c r="F186" s="75">
        <v>0.28598793593500632</v>
      </c>
      <c r="G186" s="76">
        <v>0.25758368693484895</v>
      </c>
      <c r="H186" s="72" t="s">
        <v>23</v>
      </c>
      <c r="I186" s="72" t="s">
        <v>305</v>
      </c>
    </row>
    <row r="187" spans="1:9" ht="12.75" customHeight="1" x14ac:dyDescent="0.2">
      <c r="A187" s="71">
        <v>194</v>
      </c>
      <c r="B187" s="72" t="s">
        <v>304</v>
      </c>
      <c r="C187" s="73">
        <v>18.6449</v>
      </c>
      <c r="D187" s="74">
        <v>59.916138909352412</v>
      </c>
      <c r="E187" s="73">
        <v>4223.5693968471824</v>
      </c>
      <c r="F187" s="75">
        <v>3.8020051451845997E-2</v>
      </c>
      <c r="G187" s="76">
        <v>9.3076652504669469E-2</v>
      </c>
      <c r="H187" s="72" t="s">
        <v>23</v>
      </c>
      <c r="I187" s="72" t="s">
        <v>305</v>
      </c>
    </row>
    <row r="188" spans="1:9" ht="12.75" customHeight="1" x14ac:dyDescent="0.2">
      <c r="A188" s="71">
        <v>195</v>
      </c>
      <c r="B188" s="72" t="s">
        <v>311</v>
      </c>
      <c r="C188" s="73">
        <v>18.684950000000001</v>
      </c>
      <c r="D188" s="74">
        <v>117.32385371141754</v>
      </c>
      <c r="E188" s="73">
        <v>5627.6801807157462</v>
      </c>
      <c r="F188" s="75">
        <v>7.4448371270810901E-2</v>
      </c>
      <c r="G188" s="76">
        <v>0.12401965810693351</v>
      </c>
      <c r="H188" s="72" t="s">
        <v>312</v>
      </c>
      <c r="I188" s="72" t="s">
        <v>313</v>
      </c>
    </row>
    <row r="189" spans="1:9" ht="12.75" customHeight="1" x14ac:dyDescent="0.2">
      <c r="A189" s="71">
        <v>196</v>
      </c>
      <c r="B189" s="72" t="s">
        <v>314</v>
      </c>
      <c r="C189" s="73">
        <v>18.730733333333333</v>
      </c>
      <c r="D189" s="74">
        <v>93.2020140054683</v>
      </c>
      <c r="E189" s="73">
        <v>4140.6470098680584</v>
      </c>
      <c r="F189" s="75">
        <v>5.9141750994079124E-2</v>
      </c>
      <c r="G189" s="76">
        <v>9.1249255468533366E-2</v>
      </c>
      <c r="H189" s="72" t="s">
        <v>315</v>
      </c>
      <c r="I189" s="72" t="s">
        <v>316</v>
      </c>
    </row>
    <row r="190" spans="1:9" ht="12.75" customHeight="1" x14ac:dyDescent="0.2">
      <c r="A190" s="71">
        <v>197</v>
      </c>
      <c r="B190" s="72" t="s">
        <v>311</v>
      </c>
      <c r="C190" s="73">
        <v>18.805116666666667</v>
      </c>
      <c r="D190" s="74">
        <v>611.23805109875502</v>
      </c>
      <c r="E190" s="73">
        <v>9879.3124479847975</v>
      </c>
      <c r="F190" s="75">
        <v>0.38786381390929842</v>
      </c>
      <c r="G190" s="76">
        <v>0.21771474440376221</v>
      </c>
      <c r="H190" s="72" t="s">
        <v>312</v>
      </c>
      <c r="I190" s="72" t="s">
        <v>313</v>
      </c>
    </row>
    <row r="191" spans="1:9" ht="12.75" customHeight="1" x14ac:dyDescent="0.2">
      <c r="A191" s="71">
        <v>198</v>
      </c>
      <c r="B191" s="72" t="s">
        <v>304</v>
      </c>
      <c r="C191" s="73">
        <v>18.89095</v>
      </c>
      <c r="D191" s="74">
        <v>427.69309785103269</v>
      </c>
      <c r="E191" s="73">
        <v>10049.621210319827</v>
      </c>
      <c r="F191" s="75">
        <v>0.27139455048158106</v>
      </c>
      <c r="G191" s="76">
        <v>0.22146791334711874</v>
      </c>
      <c r="H191" s="72" t="s">
        <v>23</v>
      </c>
      <c r="I191" s="72" t="s">
        <v>305</v>
      </c>
    </row>
    <row r="192" spans="1:9" ht="12.75" customHeight="1" x14ac:dyDescent="0.2">
      <c r="A192" s="71">
        <v>199</v>
      </c>
      <c r="B192" s="72" t="s">
        <v>314</v>
      </c>
      <c r="C192" s="73">
        <v>18.953883333333334</v>
      </c>
      <c r="D192" s="74">
        <v>13.95859887752431</v>
      </c>
      <c r="E192" s="73">
        <v>1935.6984228473666</v>
      </c>
      <c r="F192" s="75">
        <v>8.8574907725957469E-3</v>
      </c>
      <c r="G192" s="76">
        <v>4.2657835713956413E-2</v>
      </c>
      <c r="H192" s="72" t="s">
        <v>315</v>
      </c>
      <c r="I192" s="72" t="s">
        <v>316</v>
      </c>
    </row>
    <row r="193" spans="1:9" ht="12.75" customHeight="1" x14ac:dyDescent="0.2">
      <c r="A193" s="71">
        <v>200</v>
      </c>
      <c r="B193" s="72" t="s">
        <v>314</v>
      </c>
      <c r="C193" s="73">
        <v>18.982500000000002</v>
      </c>
      <c r="D193" s="74">
        <v>31.370531969308558</v>
      </c>
      <c r="E193" s="73">
        <v>2551.4774083545854</v>
      </c>
      <c r="F193" s="75">
        <v>1.9906310073640594E-2</v>
      </c>
      <c r="G193" s="76">
        <v>5.6228027480313469E-2</v>
      </c>
      <c r="H193" s="72" t="s">
        <v>315</v>
      </c>
      <c r="I193" s="72" t="s">
        <v>316</v>
      </c>
    </row>
    <row r="194" spans="1:9" ht="12.75" customHeight="1" x14ac:dyDescent="0.2">
      <c r="A194" s="71">
        <v>201</v>
      </c>
      <c r="B194" s="72" t="s">
        <v>304</v>
      </c>
      <c r="C194" s="73">
        <v>18.999666666666666</v>
      </c>
      <c r="D194" s="74">
        <v>14.142275000002428</v>
      </c>
      <c r="E194" s="73">
        <v>1891.029112081691</v>
      </c>
      <c r="F194" s="75">
        <v>8.974043270039863E-3</v>
      </c>
      <c r="G194" s="76">
        <v>4.1673438507445842E-2</v>
      </c>
      <c r="H194" s="72" t="s">
        <v>23</v>
      </c>
      <c r="I194" s="72" t="s">
        <v>305</v>
      </c>
    </row>
    <row r="195" spans="1:9" ht="12.75" customHeight="1" x14ac:dyDescent="0.2">
      <c r="A195" s="71">
        <v>202</v>
      </c>
      <c r="B195" s="72" t="s">
        <v>311</v>
      </c>
      <c r="C195" s="73">
        <v>19.07405</v>
      </c>
      <c r="D195" s="74">
        <v>1089.4787494245252</v>
      </c>
      <c r="E195" s="73">
        <v>28169.869352088645</v>
      </c>
      <c r="F195" s="75">
        <v>0.69133356826415326</v>
      </c>
      <c r="G195" s="76">
        <v>0.62079177454584655</v>
      </c>
      <c r="H195" s="72" t="s">
        <v>312</v>
      </c>
      <c r="I195" s="72" t="s">
        <v>313</v>
      </c>
    </row>
    <row r="196" spans="1:9" ht="12.75" customHeight="1" x14ac:dyDescent="0.2">
      <c r="A196" s="71">
        <v>203</v>
      </c>
      <c r="B196" s="72" t="s">
        <v>314</v>
      </c>
      <c r="C196" s="73">
        <v>19.114100000000001</v>
      </c>
      <c r="D196" s="74">
        <v>526.31173639529288</v>
      </c>
      <c r="E196" s="73">
        <v>10341.045183290677</v>
      </c>
      <c r="F196" s="75">
        <v>0.33397344457948686</v>
      </c>
      <c r="G196" s="76">
        <v>0.22789015134419913</v>
      </c>
      <c r="H196" s="72" t="s">
        <v>315</v>
      </c>
      <c r="I196" s="72" t="s">
        <v>316</v>
      </c>
    </row>
    <row r="197" spans="1:9" ht="12.75" customHeight="1" x14ac:dyDescent="0.2">
      <c r="A197" s="71">
        <v>204</v>
      </c>
      <c r="B197" s="72" t="s">
        <v>311</v>
      </c>
      <c r="C197" s="73">
        <v>19.165600000000001</v>
      </c>
      <c r="D197" s="74">
        <v>14.340416666666442</v>
      </c>
      <c r="E197" s="73">
        <v>2671.7553398056989</v>
      </c>
      <c r="F197" s="75">
        <v>9.0997749426484347E-3</v>
      </c>
      <c r="G197" s="76">
        <v>5.8878645045165774E-2</v>
      </c>
      <c r="H197" s="72" t="s">
        <v>312</v>
      </c>
      <c r="I197" s="72" t="s">
        <v>313</v>
      </c>
    </row>
    <row r="198" spans="1:9" ht="12.75" customHeight="1" x14ac:dyDescent="0.2">
      <c r="A198" s="71">
        <v>205</v>
      </c>
      <c r="B198" s="72" t="s">
        <v>314</v>
      </c>
      <c r="C198" s="73">
        <v>19.199933333333334</v>
      </c>
      <c r="D198" s="74">
        <v>112.57515851254516</v>
      </c>
      <c r="E198" s="73">
        <v>3188.639784946281</v>
      </c>
      <c r="F198" s="75">
        <v>7.1435065689431393E-2</v>
      </c>
      <c r="G198" s="76">
        <v>7.0269454421077043E-2</v>
      </c>
      <c r="H198" s="72" t="s">
        <v>315</v>
      </c>
      <c r="I198" s="72" t="s">
        <v>316</v>
      </c>
    </row>
    <row r="199" spans="1:9" ht="12.75" customHeight="1" x14ac:dyDescent="0.2">
      <c r="A199" s="71">
        <v>206</v>
      </c>
      <c r="B199" s="72" t="s">
        <v>311</v>
      </c>
      <c r="C199" s="73">
        <v>19.251433333333335</v>
      </c>
      <c r="D199" s="74">
        <v>148.83890815411587</v>
      </c>
      <c r="E199" s="73">
        <v>4889.9099462365048</v>
      </c>
      <c r="F199" s="75">
        <v>9.4446388720364691E-2</v>
      </c>
      <c r="G199" s="76">
        <v>0.10776109164554823</v>
      </c>
      <c r="H199" s="72" t="s">
        <v>312</v>
      </c>
      <c r="I199" s="72" t="s">
        <v>313</v>
      </c>
    </row>
    <row r="200" spans="1:9" ht="12.75" customHeight="1" x14ac:dyDescent="0.2">
      <c r="A200" s="71">
        <v>207</v>
      </c>
      <c r="B200" s="72" t="s">
        <v>304</v>
      </c>
      <c r="C200" s="73">
        <v>19.291483333333332</v>
      </c>
      <c r="D200" s="74">
        <v>44.672766666667258</v>
      </c>
      <c r="E200" s="73">
        <v>2573.8286713285779</v>
      </c>
      <c r="F200" s="75">
        <v>2.8347302047159854E-2</v>
      </c>
      <c r="G200" s="76">
        <v>5.6720592072344034E-2</v>
      </c>
      <c r="H200" s="72" t="s">
        <v>23</v>
      </c>
      <c r="I200" s="72" t="s">
        <v>305</v>
      </c>
    </row>
    <row r="201" spans="1:9" ht="12.75" customHeight="1" x14ac:dyDescent="0.2">
      <c r="A201" s="71">
        <v>208</v>
      </c>
      <c r="B201" s="72" t="s">
        <v>311</v>
      </c>
      <c r="C201" s="73">
        <v>19.331533333333333</v>
      </c>
      <c r="D201" s="74">
        <v>31.938174999999546</v>
      </c>
      <c r="E201" s="73">
        <v>1944.1100757134773</v>
      </c>
      <c r="F201" s="75">
        <v>2.0266510474167145E-2</v>
      </c>
      <c r="G201" s="76">
        <v>4.2843207000004969E-2</v>
      </c>
      <c r="H201" s="72" t="s">
        <v>312</v>
      </c>
      <c r="I201" s="72" t="s">
        <v>313</v>
      </c>
    </row>
    <row r="202" spans="1:9" ht="12.75" customHeight="1" x14ac:dyDescent="0.2">
      <c r="A202" s="71">
        <v>209</v>
      </c>
      <c r="B202" s="72" t="s">
        <v>314</v>
      </c>
      <c r="C202" s="73">
        <v>19.377316666666665</v>
      </c>
      <c r="D202" s="74">
        <v>179.50334802589214</v>
      </c>
      <c r="E202" s="73">
        <v>6340.894660194157</v>
      </c>
      <c r="F202" s="75">
        <v>0.113904644924604</v>
      </c>
      <c r="G202" s="76">
        <v>0.13973707861795079</v>
      </c>
      <c r="H202" s="72" t="s">
        <v>315</v>
      </c>
      <c r="I202" s="72" t="s">
        <v>316</v>
      </c>
    </row>
    <row r="203" spans="1:9" ht="12.75" customHeight="1" x14ac:dyDescent="0.2">
      <c r="A203" s="71">
        <v>210</v>
      </c>
      <c r="B203" s="72" t="s">
        <v>311</v>
      </c>
      <c r="C203" s="73">
        <v>19.400200000000002</v>
      </c>
      <c r="D203" s="74">
        <v>71.65476864077732</v>
      </c>
      <c r="E203" s="73">
        <v>4571.4473300971149</v>
      </c>
      <c r="F203" s="75">
        <v>4.5468850965415447E-2</v>
      </c>
      <c r="G203" s="76">
        <v>0.10074299120181912</v>
      </c>
      <c r="H203" s="72" t="s">
        <v>312</v>
      </c>
      <c r="I203" s="72" t="s">
        <v>313</v>
      </c>
    </row>
    <row r="204" spans="1:9" ht="12.75" customHeight="1" x14ac:dyDescent="0.2">
      <c r="A204" s="71">
        <v>211</v>
      </c>
      <c r="B204" s="72" t="s">
        <v>311</v>
      </c>
      <c r="C204" s="73">
        <v>19.457416666666667</v>
      </c>
      <c r="D204" s="74">
        <v>385.37055865928642</v>
      </c>
      <c r="E204" s="73">
        <v>8962.2857142857174</v>
      </c>
      <c r="F204" s="75">
        <v>0.24453859569321612</v>
      </c>
      <c r="G204" s="76">
        <v>0.19750582379416681</v>
      </c>
      <c r="H204" s="72" t="s">
        <v>312</v>
      </c>
      <c r="I204" s="72" t="s">
        <v>313</v>
      </c>
    </row>
    <row r="205" spans="1:9" ht="12.75" customHeight="1" x14ac:dyDescent="0.2">
      <c r="A205" s="71">
        <v>212</v>
      </c>
      <c r="B205" s="72" t="s">
        <v>304</v>
      </c>
      <c r="C205" s="73">
        <v>19.486033333333335</v>
      </c>
      <c r="D205" s="74">
        <v>267.10906634072626</v>
      </c>
      <c r="E205" s="73">
        <v>8009.8316227461837</v>
      </c>
      <c r="F205" s="75">
        <v>0.16949524168927663</v>
      </c>
      <c r="G205" s="76">
        <v>0.1765161749509272</v>
      </c>
      <c r="H205" s="72" t="s">
        <v>23</v>
      </c>
      <c r="I205" s="72" t="s">
        <v>305</v>
      </c>
    </row>
    <row r="206" spans="1:9" ht="12.75" customHeight="1" x14ac:dyDescent="0.2">
      <c r="A206" s="71">
        <v>213</v>
      </c>
      <c r="B206" s="72" t="s">
        <v>311</v>
      </c>
      <c r="C206" s="73">
        <v>19.589016666666666</v>
      </c>
      <c r="D206" s="74">
        <v>63.184216666665861</v>
      </c>
      <c r="E206" s="73">
        <v>4444.3826441467318</v>
      </c>
      <c r="F206" s="75">
        <v>4.0093824674611124E-2</v>
      </c>
      <c r="G206" s="76">
        <v>9.7942810949389211E-2</v>
      </c>
      <c r="H206" s="72" t="s">
        <v>312</v>
      </c>
      <c r="I206" s="72" t="s">
        <v>313</v>
      </c>
    </row>
    <row r="207" spans="1:9" ht="12.75" customHeight="1" x14ac:dyDescent="0.2">
      <c r="A207" s="71">
        <v>214</v>
      </c>
      <c r="B207" s="72" t="s">
        <v>311</v>
      </c>
      <c r="C207" s="73">
        <v>19.640516666666667</v>
      </c>
      <c r="D207" s="74">
        <v>76.643074999999044</v>
      </c>
      <c r="E207" s="73">
        <v>6625.6278392545501</v>
      </c>
      <c r="F207" s="75">
        <v>4.8634202870385695E-2</v>
      </c>
      <c r="G207" s="76">
        <v>0.14601186865306595</v>
      </c>
      <c r="H207" s="72" t="s">
        <v>312</v>
      </c>
      <c r="I207" s="72" t="s">
        <v>313</v>
      </c>
    </row>
    <row r="208" spans="1:9" ht="12.75" customHeight="1" x14ac:dyDescent="0.2">
      <c r="A208" s="71">
        <v>215</v>
      </c>
      <c r="B208" s="72" t="s">
        <v>311</v>
      </c>
      <c r="C208" s="73">
        <v>19.669133333333335</v>
      </c>
      <c r="D208" s="74">
        <v>74.661716666665143</v>
      </c>
      <c r="E208" s="73">
        <v>5263.880023296515</v>
      </c>
      <c r="F208" s="75">
        <v>4.7376923159957958E-2</v>
      </c>
      <c r="G208" s="76">
        <v>0.11600243436756967</v>
      </c>
      <c r="H208" s="72" t="s">
        <v>312</v>
      </c>
      <c r="I208" s="72" t="s">
        <v>313</v>
      </c>
    </row>
    <row r="209" spans="1:9" ht="12.75" customHeight="1" x14ac:dyDescent="0.2">
      <c r="A209" s="71">
        <v>216</v>
      </c>
      <c r="B209" s="72" t="s">
        <v>311</v>
      </c>
      <c r="C209" s="73">
        <v>19.789283333333334</v>
      </c>
      <c r="D209" s="74">
        <v>50.219874999999774</v>
      </c>
      <c r="E209" s="73">
        <v>3078.3162713275233</v>
      </c>
      <c r="F209" s="75">
        <v>3.1867244221026235E-2</v>
      </c>
      <c r="G209" s="76">
        <v>6.7838206730947329E-2</v>
      </c>
      <c r="H209" s="72" t="s">
        <v>312</v>
      </c>
      <c r="I209" s="72" t="s">
        <v>313</v>
      </c>
    </row>
    <row r="210" spans="1:9" ht="12.75" customHeight="1" x14ac:dyDescent="0.2">
      <c r="A210" s="71">
        <v>217</v>
      </c>
      <c r="B210" s="72" t="s">
        <v>311</v>
      </c>
      <c r="C210" s="73">
        <v>19.823616666666666</v>
      </c>
      <c r="D210" s="74">
        <v>37.527941666665356</v>
      </c>
      <c r="E210" s="73">
        <v>2658.4479242534726</v>
      </c>
      <c r="F210" s="75">
        <v>2.3813521682482415E-2</v>
      </c>
      <c r="G210" s="76">
        <v>5.85853836880742E-2</v>
      </c>
      <c r="H210" s="72" t="s">
        <v>312</v>
      </c>
      <c r="I210" s="72" t="s">
        <v>313</v>
      </c>
    </row>
    <row r="211" spans="1:9" ht="12.75" customHeight="1" x14ac:dyDescent="0.2">
      <c r="A211" s="71">
        <v>218</v>
      </c>
      <c r="B211" s="72" t="s">
        <v>311</v>
      </c>
      <c r="C211" s="73">
        <v>19.903733333333335</v>
      </c>
      <c r="D211" s="74">
        <v>554.80994166666824</v>
      </c>
      <c r="E211" s="73">
        <v>10939.051747772428</v>
      </c>
      <c r="F211" s="75">
        <v>0.35205710701878717</v>
      </c>
      <c r="G211" s="76">
        <v>0.24106868446817922</v>
      </c>
      <c r="H211" s="72" t="s">
        <v>312</v>
      </c>
      <c r="I211" s="72" t="s">
        <v>313</v>
      </c>
    </row>
    <row r="212" spans="1:9" ht="12.75" customHeight="1" x14ac:dyDescent="0.2">
      <c r="A212" s="77">
        <v>219</v>
      </c>
      <c r="B212" s="78" t="s">
        <v>311</v>
      </c>
      <c r="C212" s="79">
        <v>19.989566666666668</v>
      </c>
      <c r="D212" s="80">
        <v>157.84316666666018</v>
      </c>
      <c r="E212" s="79">
        <v>7521.6988934169494</v>
      </c>
      <c r="F212" s="81">
        <v>0.10016008086015009</v>
      </c>
      <c r="G212" s="82">
        <v>0.16575897975535436</v>
      </c>
      <c r="H212" s="78" t="s">
        <v>312</v>
      </c>
      <c r="I212" s="78" t="s">
        <v>313</v>
      </c>
    </row>
    <row r="213" spans="1:9" ht="16.5" customHeight="1" x14ac:dyDescent="0.2">
      <c r="A213" s="83" t="s">
        <v>317</v>
      </c>
      <c r="B213" s="84"/>
      <c r="C213" s="85"/>
      <c r="D213" s="86">
        <f>SUM(D44:D212)</f>
        <v>94214.175467918933</v>
      </c>
      <c r="E213" s="86">
        <f>SUM(E44:E212)</f>
        <v>2959789.4328113585</v>
      </c>
      <c r="F213" s="86">
        <f>SUM(F44:F212)</f>
        <v>59.784022535277231</v>
      </c>
      <c r="G213" s="86">
        <f>SUM(I44:I212)</f>
        <v>0</v>
      </c>
      <c r="H213" s="87"/>
      <c r="I213" s="41"/>
    </row>
  </sheetData>
  <mergeCells count="1">
    <mergeCell ref="A1:H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60FF4-F6A9-4428-9847-DEFCF974BE61}">
  <dimension ref="A1:I171"/>
  <sheetViews>
    <sheetView tabSelected="1" workbookViewId="0">
      <selection activeCell="M14" sqref="M14"/>
    </sheetView>
  </sheetViews>
  <sheetFormatPr defaultRowHeight="12.75" x14ac:dyDescent="0.2"/>
  <sheetData>
    <row r="1" spans="1:9" x14ac:dyDescent="0.2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</row>
    <row r="2" spans="1:9" x14ac:dyDescent="0.2">
      <c r="A2">
        <v>1</v>
      </c>
      <c r="B2" t="s">
        <v>71</v>
      </c>
      <c r="C2">
        <v>3.1211833333333332</v>
      </c>
      <c r="D2">
        <v>17.094850000000179</v>
      </c>
      <c r="E2">
        <v>1873.8378640776609</v>
      </c>
      <c r="F2">
        <v>1.0847612820060155E-2</v>
      </c>
      <c r="G2">
        <v>4.1294587430016613E-2</v>
      </c>
      <c r="H2" t="s">
        <v>72</v>
      </c>
      <c r="I2" t="s">
        <v>73</v>
      </c>
    </row>
    <row r="3" spans="1:9" x14ac:dyDescent="0.2">
      <c r="A3">
        <v>2</v>
      </c>
      <c r="B3" t="s">
        <v>74</v>
      </c>
      <c r="C3">
        <v>3.1726833333333335</v>
      </c>
      <c r="D3">
        <v>402.88680853685992</v>
      </c>
      <c r="E3">
        <v>2400.081111360083</v>
      </c>
      <c r="F3">
        <v>0.25565360967294343</v>
      </c>
      <c r="G3">
        <v>5.2891640836265415E-2</v>
      </c>
      <c r="H3" t="s">
        <v>75</v>
      </c>
      <c r="I3" t="s">
        <v>76</v>
      </c>
    </row>
    <row r="4" spans="1:9" x14ac:dyDescent="0.2">
      <c r="A4">
        <v>3</v>
      </c>
      <c r="B4" t="s">
        <v>77</v>
      </c>
      <c r="C4">
        <v>3.3042833333333332</v>
      </c>
      <c r="D4">
        <v>35.565433129808241</v>
      </c>
      <c r="E4">
        <v>2317.6013892000919</v>
      </c>
      <c r="F4">
        <v>2.2568203193938294E-2</v>
      </c>
      <c r="G4">
        <v>5.1073998999032234E-2</v>
      </c>
      <c r="H4" t="s">
        <v>78</v>
      </c>
      <c r="I4" t="s">
        <v>79</v>
      </c>
    </row>
    <row r="5" spans="1:9" x14ac:dyDescent="0.2">
      <c r="A5">
        <v>4</v>
      </c>
      <c r="B5" t="s">
        <v>74</v>
      </c>
      <c r="C5">
        <v>3.3386166666666668</v>
      </c>
      <c r="D5">
        <v>63.42780833333245</v>
      </c>
      <c r="E5">
        <v>2068.906796116491</v>
      </c>
      <c r="F5">
        <v>4.0248396846124315E-2</v>
      </c>
      <c r="G5">
        <v>4.5593407100267221E-2</v>
      </c>
      <c r="H5" t="s">
        <v>75</v>
      </c>
      <c r="I5" t="s">
        <v>76</v>
      </c>
    </row>
    <row r="6" spans="1:9" x14ac:dyDescent="0.2">
      <c r="A6">
        <v>6</v>
      </c>
      <c r="B6" t="s">
        <v>77</v>
      </c>
      <c r="C6">
        <v>3.516</v>
      </c>
      <c r="D6">
        <v>83.042333333333431</v>
      </c>
      <c r="E6">
        <v>2273.2254089177641</v>
      </c>
      <c r="F6">
        <v>5.2694880602893096E-2</v>
      </c>
      <c r="G6">
        <v>5.0096066045124683E-2</v>
      </c>
      <c r="H6" t="s">
        <v>78</v>
      </c>
      <c r="I6" t="s">
        <v>79</v>
      </c>
    </row>
    <row r="7" spans="1:9" x14ac:dyDescent="0.2">
      <c r="A7">
        <v>7</v>
      </c>
      <c r="B7" t="s">
        <v>77</v>
      </c>
      <c r="C7">
        <v>3.6018333333333334</v>
      </c>
      <c r="D7">
        <v>11.859966666666907</v>
      </c>
      <c r="E7">
        <v>1585.9728155339808</v>
      </c>
      <c r="F7">
        <v>7.5257944035086993E-3</v>
      </c>
      <c r="G7">
        <v>3.495077901253428E-2</v>
      </c>
      <c r="H7" t="s">
        <v>78</v>
      </c>
      <c r="I7" t="s">
        <v>79</v>
      </c>
    </row>
    <row r="8" spans="1:9" x14ac:dyDescent="0.2">
      <c r="A8">
        <v>8</v>
      </c>
      <c r="B8" t="s">
        <v>77</v>
      </c>
      <c r="C8">
        <v>3.6762166666666669</v>
      </c>
      <c r="D8">
        <v>15.580466666666609</v>
      </c>
      <c r="E8">
        <v>1237.6402039329987</v>
      </c>
      <c r="F8">
        <v>9.8866541651930762E-3</v>
      </c>
      <c r="G8">
        <v>2.7274420369006187E-2</v>
      </c>
      <c r="H8" t="s">
        <v>78</v>
      </c>
      <c r="I8" t="s">
        <v>79</v>
      </c>
    </row>
    <row r="9" spans="1:9" x14ac:dyDescent="0.2">
      <c r="A9">
        <v>9</v>
      </c>
      <c r="B9" t="s">
        <v>80</v>
      </c>
      <c r="C9">
        <v>3.859316666666667</v>
      </c>
      <c r="D9">
        <v>155.4701</v>
      </c>
      <c r="E9">
        <v>2713.9112557820772</v>
      </c>
      <c r="F9">
        <v>9.865424089102956E-2</v>
      </c>
      <c r="G9">
        <v>5.9807653467586479E-2</v>
      </c>
      <c r="H9" t="s">
        <v>23</v>
      </c>
      <c r="I9" t="s">
        <v>81</v>
      </c>
    </row>
    <row r="10" spans="1:9" x14ac:dyDescent="0.2">
      <c r="A10">
        <v>10</v>
      </c>
      <c r="B10" t="s">
        <v>82</v>
      </c>
      <c r="C10">
        <v>4.0710333333333333</v>
      </c>
      <c r="D10">
        <v>18.955224999999842</v>
      </c>
      <c r="E10">
        <v>894.26591760299652</v>
      </c>
      <c r="F10">
        <v>1.2028122020206138E-2</v>
      </c>
      <c r="G10">
        <v>1.9707330515662203E-2</v>
      </c>
      <c r="H10" t="s">
        <v>83</v>
      </c>
      <c r="I10" t="s">
        <v>84</v>
      </c>
    </row>
    <row r="11" spans="1:9" x14ac:dyDescent="0.2">
      <c r="A11">
        <v>12</v>
      </c>
      <c r="B11" t="s">
        <v>85</v>
      </c>
      <c r="C11">
        <v>4.2484166666666665</v>
      </c>
      <c r="D11">
        <v>12.35440000000014</v>
      </c>
      <c r="E11">
        <v>852.9208737864094</v>
      </c>
      <c r="F11">
        <v>7.8395392661621075E-3</v>
      </c>
      <c r="G11">
        <v>1.8796191638915091E-2</v>
      </c>
      <c r="H11" t="s">
        <v>23</v>
      </c>
      <c r="I11" t="s">
        <v>86</v>
      </c>
    </row>
    <row r="12" spans="1:9" x14ac:dyDescent="0.2">
      <c r="A12">
        <v>13</v>
      </c>
      <c r="B12" t="s">
        <v>87</v>
      </c>
      <c r="C12">
        <v>4.5516833333333331</v>
      </c>
      <c r="D12">
        <v>21.898733333333254</v>
      </c>
      <c r="E12">
        <v>465.99063670411761</v>
      </c>
      <c r="F12">
        <v>1.3895938276717371E-2</v>
      </c>
      <c r="G12">
        <v>1.0269240182324427E-2</v>
      </c>
      <c r="H12" t="s">
        <v>23</v>
      </c>
      <c r="I12" t="s">
        <v>88</v>
      </c>
    </row>
    <row r="13" spans="1:9" x14ac:dyDescent="0.2">
      <c r="A13">
        <v>16</v>
      </c>
      <c r="B13" t="s">
        <v>89</v>
      </c>
      <c r="C13">
        <v>5.1868166666666671</v>
      </c>
      <c r="D13">
        <v>670.09424327594627</v>
      </c>
      <c r="E13">
        <v>8033.8527084601337</v>
      </c>
      <c r="F13">
        <v>0.42521127146530019</v>
      </c>
      <c r="G13">
        <v>0.17704553815955615</v>
      </c>
      <c r="H13" t="s">
        <v>23</v>
      </c>
      <c r="I13" t="s">
        <v>90</v>
      </c>
    </row>
    <row r="14" spans="1:9" x14ac:dyDescent="0.2">
      <c r="A14">
        <v>17</v>
      </c>
      <c r="B14" t="s">
        <v>91</v>
      </c>
      <c r="C14">
        <v>5.2154333333333334</v>
      </c>
      <c r="D14">
        <v>237.79912678969907</v>
      </c>
      <c r="E14">
        <v>6740.7292409355705</v>
      </c>
      <c r="F14">
        <v>0.15089648966577787</v>
      </c>
      <c r="G14">
        <v>0.14854840875941816</v>
      </c>
      <c r="H14" t="s">
        <v>92</v>
      </c>
      <c r="I14" t="s">
        <v>93</v>
      </c>
    </row>
    <row r="15" spans="1:9" x14ac:dyDescent="0.2">
      <c r="A15">
        <v>19</v>
      </c>
      <c r="B15" t="s">
        <v>89</v>
      </c>
      <c r="C15">
        <v>5.3184333333333331</v>
      </c>
      <c r="D15">
        <v>283.42351287641554</v>
      </c>
      <c r="E15">
        <v>5079.6960264324844</v>
      </c>
      <c r="F15">
        <v>0.17984764603284953</v>
      </c>
      <c r="G15">
        <v>0.11194349079111711</v>
      </c>
      <c r="H15" t="s">
        <v>23</v>
      </c>
      <c r="I15" t="s">
        <v>90</v>
      </c>
    </row>
    <row r="16" spans="1:9" x14ac:dyDescent="0.2">
      <c r="A16">
        <v>20</v>
      </c>
      <c r="B16" t="s">
        <v>89</v>
      </c>
      <c r="C16">
        <v>5.3642000000000003</v>
      </c>
      <c r="D16">
        <v>141.75371010201965</v>
      </c>
      <c r="E16">
        <v>3361.9097469785238</v>
      </c>
      <c r="F16">
        <v>8.9950444899706231E-2</v>
      </c>
      <c r="G16">
        <v>7.40878806218188E-2</v>
      </c>
      <c r="H16" t="s">
        <v>23</v>
      </c>
      <c r="I16" t="s">
        <v>90</v>
      </c>
    </row>
    <row r="17" spans="1:9" x14ac:dyDescent="0.2">
      <c r="A17">
        <v>24</v>
      </c>
      <c r="B17" t="s">
        <v>94</v>
      </c>
      <c r="C17">
        <v>6.6459166666666665</v>
      </c>
      <c r="D17">
        <v>12.313216666666678</v>
      </c>
      <c r="E17">
        <v>526.29902912621185</v>
      </c>
      <c r="F17">
        <v>7.8134061994992905E-3</v>
      </c>
      <c r="G17">
        <v>1.1598282695222813E-2</v>
      </c>
      <c r="H17" t="s">
        <v>23</v>
      </c>
      <c r="I17" t="s">
        <v>95</v>
      </c>
    </row>
    <row r="18" spans="1:9" x14ac:dyDescent="0.2">
      <c r="A18">
        <v>25</v>
      </c>
      <c r="B18" t="s">
        <v>96</v>
      </c>
      <c r="C18">
        <v>6.8976833333333332</v>
      </c>
      <c r="D18">
        <v>189.16676666666515</v>
      </c>
      <c r="E18">
        <v>5527.4496067579375</v>
      </c>
      <c r="F18">
        <v>0.12003661004469905</v>
      </c>
      <c r="G18">
        <v>0.1218108329578597</v>
      </c>
      <c r="H18" t="s">
        <v>23</v>
      </c>
      <c r="I18" t="s">
        <v>97</v>
      </c>
    </row>
    <row r="19" spans="1:9" x14ac:dyDescent="0.2">
      <c r="A19">
        <v>26</v>
      </c>
      <c r="B19" t="s">
        <v>98</v>
      </c>
      <c r="C19">
        <v>7.0006833333333338</v>
      </c>
      <c r="D19">
        <v>11.723116666666698</v>
      </c>
      <c r="E19">
        <v>692.56762380357941</v>
      </c>
      <c r="F19">
        <v>7.4389556295839506E-3</v>
      </c>
      <c r="G19">
        <v>1.5262416690695323E-2</v>
      </c>
      <c r="H19" t="s">
        <v>23</v>
      </c>
      <c r="I19" t="s">
        <v>99</v>
      </c>
    </row>
    <row r="20" spans="1:9" x14ac:dyDescent="0.2">
      <c r="A20">
        <v>27</v>
      </c>
      <c r="B20" t="s">
        <v>100</v>
      </c>
      <c r="C20">
        <v>7.1093999999999999</v>
      </c>
      <c r="D20">
        <v>18.35553333333349</v>
      </c>
      <c r="E20">
        <v>639.64062499999943</v>
      </c>
      <c r="F20">
        <v>1.1647585015704016E-2</v>
      </c>
      <c r="G20">
        <v>1.4096041188629879E-2</v>
      </c>
      <c r="H20" t="s">
        <v>23</v>
      </c>
      <c r="I20" t="s">
        <v>101</v>
      </c>
    </row>
    <row r="21" spans="1:9" x14ac:dyDescent="0.2">
      <c r="A21">
        <v>28</v>
      </c>
      <c r="B21" t="s">
        <v>102</v>
      </c>
      <c r="C21">
        <v>7.3096666666666668</v>
      </c>
      <c r="D21">
        <v>56.250300000000109</v>
      </c>
      <c r="E21">
        <v>2237</v>
      </c>
      <c r="F21">
        <v>3.5693877127452096E-2</v>
      </c>
      <c r="G21">
        <v>4.929775080962856E-2</v>
      </c>
      <c r="H21" t="s">
        <v>23</v>
      </c>
      <c r="I21" t="s">
        <v>103</v>
      </c>
    </row>
    <row r="22" spans="1:9" x14ac:dyDescent="0.2">
      <c r="A22">
        <v>29</v>
      </c>
      <c r="B22" t="s">
        <v>104</v>
      </c>
      <c r="C22">
        <v>7.567166666666667</v>
      </c>
      <c r="D22">
        <v>355.40056963666848</v>
      </c>
      <c r="E22">
        <v>4751.3716667503631</v>
      </c>
      <c r="F22">
        <v>0.22552100635263644</v>
      </c>
      <c r="G22">
        <v>0.10470806277666021</v>
      </c>
      <c r="H22" t="s">
        <v>105</v>
      </c>
      <c r="I22" t="s">
        <v>106</v>
      </c>
    </row>
    <row r="23" spans="1:9" x14ac:dyDescent="0.2">
      <c r="A23">
        <v>30</v>
      </c>
      <c r="B23" t="s">
        <v>107</v>
      </c>
      <c r="C23">
        <v>7.6816000000000004</v>
      </c>
      <c r="D23">
        <v>213.50855057667587</v>
      </c>
      <c r="E23">
        <v>2485.6669512378839</v>
      </c>
      <c r="F23">
        <v>0.13548279689075873</v>
      </c>
      <c r="G23">
        <v>5.4777733552907625E-2</v>
      </c>
      <c r="H23" t="s">
        <v>23</v>
      </c>
      <c r="I23" t="s">
        <v>108</v>
      </c>
    </row>
    <row r="24" spans="1:9" x14ac:dyDescent="0.2">
      <c r="A24">
        <v>31</v>
      </c>
      <c r="B24" t="s">
        <v>109</v>
      </c>
      <c r="C24">
        <v>7.8017666666666665</v>
      </c>
      <c r="D24">
        <v>69.446263119988771</v>
      </c>
      <c r="E24">
        <v>1256.8523577562405</v>
      </c>
      <c r="F24">
        <v>4.406743400062902E-2</v>
      </c>
      <c r="G24">
        <v>2.7697807034940219E-2</v>
      </c>
      <c r="H24" t="s">
        <v>110</v>
      </c>
      <c r="I24" t="s">
        <v>111</v>
      </c>
    </row>
    <row r="25" spans="1:9" x14ac:dyDescent="0.2">
      <c r="A25">
        <v>32</v>
      </c>
      <c r="B25" t="s">
        <v>109</v>
      </c>
      <c r="C25">
        <v>7.8818666666666672</v>
      </c>
      <c r="D25">
        <v>17.727883333333622</v>
      </c>
      <c r="E25">
        <v>748.15890183028773</v>
      </c>
      <c r="F25">
        <v>1.1249306926893103E-2</v>
      </c>
      <c r="G25">
        <v>1.6487506083341475E-2</v>
      </c>
      <c r="H25" t="s">
        <v>110</v>
      </c>
      <c r="I25" t="s">
        <v>111</v>
      </c>
    </row>
    <row r="26" spans="1:9" x14ac:dyDescent="0.2">
      <c r="A26">
        <v>33</v>
      </c>
      <c r="B26" t="s">
        <v>112</v>
      </c>
      <c r="C26">
        <v>8.0134666666666661</v>
      </c>
      <c r="D26">
        <v>13.773941666666772</v>
      </c>
      <c r="E26">
        <v>812.86525855789944</v>
      </c>
      <c r="F26">
        <v>8.7403157211729636E-3</v>
      </c>
      <c r="G26">
        <v>1.7913468465888073E-2</v>
      </c>
      <c r="H26" t="s">
        <v>113</v>
      </c>
      <c r="I26" t="s">
        <v>114</v>
      </c>
    </row>
    <row r="27" spans="1:9" x14ac:dyDescent="0.2">
      <c r="A27">
        <v>34</v>
      </c>
      <c r="B27" t="s">
        <v>115</v>
      </c>
      <c r="C27">
        <v>8.0707000000000004</v>
      </c>
      <c r="D27">
        <v>14.771316666666561</v>
      </c>
      <c r="E27">
        <v>1112.2269902912626</v>
      </c>
      <c r="F27">
        <v>9.3732044470994907E-3</v>
      </c>
      <c r="G27">
        <v>2.4510634336665994E-2</v>
      </c>
      <c r="H27" t="s">
        <v>23</v>
      </c>
      <c r="I27" t="s">
        <v>116</v>
      </c>
    </row>
    <row r="28" spans="1:9" x14ac:dyDescent="0.2">
      <c r="A28">
        <v>35</v>
      </c>
      <c r="B28" t="s">
        <v>115</v>
      </c>
      <c r="C28">
        <v>8.122183333333334</v>
      </c>
      <c r="D28">
        <v>36.271058333334359</v>
      </c>
      <c r="E28">
        <v>1885.546019417475</v>
      </c>
      <c r="F28">
        <v>2.3015960793678996E-2</v>
      </c>
      <c r="G28">
        <v>4.1552605187898856E-2</v>
      </c>
      <c r="H28" t="s">
        <v>23</v>
      </c>
      <c r="I28" t="s">
        <v>116</v>
      </c>
    </row>
    <row r="29" spans="1:9" x14ac:dyDescent="0.2">
      <c r="A29">
        <v>36</v>
      </c>
      <c r="B29" t="s">
        <v>117</v>
      </c>
      <c r="C29">
        <v>8.1794166666666666</v>
      </c>
      <c r="D29">
        <v>28.248208333332698</v>
      </c>
      <c r="E29">
        <v>1547.5132872224249</v>
      </c>
      <c r="F29">
        <v>1.792502577445176E-2</v>
      </c>
      <c r="G29">
        <v>3.4103229507411827E-2</v>
      </c>
      <c r="H29" t="s">
        <v>118</v>
      </c>
      <c r="I29" t="s">
        <v>119</v>
      </c>
    </row>
    <row r="30" spans="1:9" x14ac:dyDescent="0.2">
      <c r="A30">
        <v>38</v>
      </c>
      <c r="B30" t="s">
        <v>120</v>
      </c>
      <c r="C30">
        <v>8.3625166666666662</v>
      </c>
      <c r="D30">
        <v>52.296000000002152</v>
      </c>
      <c r="E30">
        <v>2064.4999999999914</v>
      </c>
      <c r="F30">
        <v>3.3184658539728823E-2</v>
      </c>
      <c r="G30">
        <v>4.5496292600124152E-2</v>
      </c>
      <c r="H30" t="s">
        <v>121</v>
      </c>
      <c r="I30" t="s">
        <v>122</v>
      </c>
    </row>
    <row r="31" spans="1:9" x14ac:dyDescent="0.2">
      <c r="A31">
        <v>39</v>
      </c>
      <c r="B31" t="s">
        <v>123</v>
      </c>
      <c r="C31">
        <v>8.4254499999999997</v>
      </c>
      <c r="D31">
        <v>16.954716666666425</v>
      </c>
      <c r="E31">
        <v>673</v>
      </c>
      <c r="F31">
        <v>1.0758690592419141E-2</v>
      </c>
      <c r="G31">
        <v>1.4831196376790354E-2</v>
      </c>
      <c r="H31" t="s">
        <v>23</v>
      </c>
      <c r="I31" t="s">
        <v>124</v>
      </c>
    </row>
    <row r="32" spans="1:9" x14ac:dyDescent="0.2">
      <c r="A32">
        <v>40</v>
      </c>
      <c r="B32" t="s">
        <v>125</v>
      </c>
      <c r="C32">
        <v>8.4712333333333341</v>
      </c>
      <c r="D32">
        <v>97.910416666665824</v>
      </c>
      <c r="E32">
        <v>3259</v>
      </c>
      <c r="F32">
        <v>6.2129488767128378E-2</v>
      </c>
      <c r="G32">
        <v>7.1820013361010043E-2</v>
      </c>
      <c r="H32" t="s">
        <v>23</v>
      </c>
      <c r="I32" t="s">
        <v>126</v>
      </c>
    </row>
    <row r="33" spans="1:9" x14ac:dyDescent="0.2">
      <c r="A33">
        <v>41</v>
      </c>
      <c r="B33" t="s">
        <v>127</v>
      </c>
      <c r="C33">
        <v>8.5513333333333339</v>
      </c>
      <c r="D33">
        <v>275.37843333333586</v>
      </c>
      <c r="E33">
        <v>9633.2572364827938</v>
      </c>
      <c r="F33">
        <v>0.17474260515855614</v>
      </c>
      <c r="G33">
        <v>0.21229231771532403</v>
      </c>
      <c r="H33" t="s">
        <v>128</v>
      </c>
      <c r="I33" t="s">
        <v>129</v>
      </c>
    </row>
    <row r="34" spans="1:9" x14ac:dyDescent="0.2">
      <c r="A34">
        <v>42</v>
      </c>
      <c r="B34" t="s">
        <v>123</v>
      </c>
      <c r="C34">
        <v>8.6257166666666674</v>
      </c>
      <c r="D34">
        <v>10.976474999999827</v>
      </c>
      <c r="E34">
        <v>494.64951456310621</v>
      </c>
      <c r="F34">
        <v>6.9651708514006658E-3</v>
      </c>
      <c r="G34">
        <v>1.0900808451960547E-2</v>
      </c>
      <c r="H34" t="s">
        <v>23</v>
      </c>
      <c r="I34" t="s">
        <v>124</v>
      </c>
    </row>
    <row r="35" spans="1:9" x14ac:dyDescent="0.2">
      <c r="A35">
        <v>43</v>
      </c>
      <c r="B35" t="s">
        <v>130</v>
      </c>
      <c r="C35">
        <v>8.7115500000000008</v>
      </c>
      <c r="D35">
        <v>15.207666666667272</v>
      </c>
      <c r="E35">
        <v>837.97961165048628</v>
      </c>
      <c r="F35">
        <v>9.6500922732015576E-3</v>
      </c>
      <c r="G35">
        <v>1.84669244875704E-2</v>
      </c>
      <c r="H35" t="s">
        <v>23</v>
      </c>
      <c r="I35" t="s">
        <v>131</v>
      </c>
    </row>
    <row r="36" spans="1:9" x14ac:dyDescent="0.2">
      <c r="A36">
        <v>44</v>
      </c>
      <c r="B36" t="s">
        <v>132</v>
      </c>
      <c r="C36">
        <v>8.7916666666666661</v>
      </c>
      <c r="D36">
        <v>75.94806427513052</v>
      </c>
      <c r="E36">
        <v>2391.2109458837958</v>
      </c>
      <c r="F36">
        <v>4.8193180735113202E-2</v>
      </c>
      <c r="G36">
        <v>5.2696165106587201E-2</v>
      </c>
      <c r="H36" t="s">
        <v>23</v>
      </c>
      <c r="I36" t="s">
        <v>133</v>
      </c>
    </row>
    <row r="37" spans="1:9" x14ac:dyDescent="0.2">
      <c r="A37">
        <v>45</v>
      </c>
      <c r="B37" t="s">
        <v>134</v>
      </c>
      <c r="C37">
        <v>8.8202666666666669</v>
      </c>
      <c r="D37">
        <v>85.472660724869655</v>
      </c>
      <c r="E37">
        <v>2378.0507435229192</v>
      </c>
      <c r="F37">
        <v>5.4237055618723683E-2</v>
      </c>
      <c r="G37">
        <v>5.2406147951204643E-2</v>
      </c>
      <c r="H37" t="s">
        <v>23</v>
      </c>
      <c r="I37" t="s">
        <v>135</v>
      </c>
    </row>
    <row r="38" spans="1:9" x14ac:dyDescent="0.2">
      <c r="A38">
        <v>46</v>
      </c>
      <c r="B38" t="s">
        <v>136</v>
      </c>
      <c r="C38">
        <v>8.9633166666666675</v>
      </c>
      <c r="D38">
        <v>10.405725000000082</v>
      </c>
      <c r="E38">
        <v>622.88264669163459</v>
      </c>
      <c r="F38">
        <v>6.602998909731303E-3</v>
      </c>
      <c r="G38">
        <v>1.3726738265644215E-2</v>
      </c>
      <c r="H38" t="s">
        <v>23</v>
      </c>
      <c r="I38" t="s">
        <v>137</v>
      </c>
    </row>
    <row r="39" spans="1:9" x14ac:dyDescent="0.2">
      <c r="A39">
        <v>47</v>
      </c>
      <c r="B39" t="s">
        <v>138</v>
      </c>
      <c r="C39">
        <v>9.0319833333333328</v>
      </c>
      <c r="D39">
        <v>22.968149266189855</v>
      </c>
      <c r="E39">
        <v>748.46381357831001</v>
      </c>
      <c r="F39">
        <v>1.4574540895823811E-2</v>
      </c>
      <c r="G39">
        <v>1.6494225557357092E-2</v>
      </c>
      <c r="H39" t="s">
        <v>23</v>
      </c>
      <c r="I39" t="s">
        <v>139</v>
      </c>
    </row>
    <row r="40" spans="1:9" x14ac:dyDescent="0.2">
      <c r="A40">
        <v>48</v>
      </c>
      <c r="B40" t="s">
        <v>140</v>
      </c>
      <c r="C40">
        <v>9.0663166666666672</v>
      </c>
      <c r="D40">
        <v>34.681709067143771</v>
      </c>
      <c r="E40">
        <v>1725.3914407349328</v>
      </c>
      <c r="F40">
        <v>2.2007432173920295E-2</v>
      </c>
      <c r="G40">
        <v>3.8023208446319498E-2</v>
      </c>
      <c r="H40" t="s">
        <v>23</v>
      </c>
      <c r="I40" t="s">
        <v>141</v>
      </c>
    </row>
    <row r="41" spans="1:9" x14ac:dyDescent="0.2">
      <c r="A41">
        <v>49</v>
      </c>
      <c r="B41" t="s">
        <v>142</v>
      </c>
      <c r="C41">
        <v>9.1235333333333344</v>
      </c>
      <c r="D41">
        <v>28.927533333333997</v>
      </c>
      <c r="E41">
        <v>1020.5416997617165</v>
      </c>
      <c r="F41">
        <v>1.8356094463501466E-2</v>
      </c>
      <c r="G41">
        <v>2.2490125348988761E-2</v>
      </c>
      <c r="H41" t="s">
        <v>23</v>
      </c>
      <c r="I41" t="s">
        <v>143</v>
      </c>
    </row>
    <row r="42" spans="1:9" x14ac:dyDescent="0.2">
      <c r="A42">
        <v>51</v>
      </c>
      <c r="B42" t="s">
        <v>144</v>
      </c>
      <c r="C42">
        <v>9.2837499999999995</v>
      </c>
      <c r="D42">
        <v>115.43265443307814</v>
      </c>
      <c r="E42">
        <v>2427.7830349531114</v>
      </c>
      <c r="F42">
        <v>7.3248302388252542E-2</v>
      </c>
      <c r="G42">
        <v>5.3502120284739489E-2</v>
      </c>
      <c r="H42" t="s">
        <v>145</v>
      </c>
      <c r="I42" t="s">
        <v>146</v>
      </c>
    </row>
    <row r="43" spans="1:9" x14ac:dyDescent="0.2">
      <c r="A43">
        <v>52</v>
      </c>
      <c r="B43" t="s">
        <v>147</v>
      </c>
      <c r="C43">
        <v>9.3409666666666666</v>
      </c>
      <c r="D43">
        <v>43.492947186700697</v>
      </c>
      <c r="E43">
        <v>1375.6349104859337</v>
      </c>
      <c r="F43">
        <v>2.7598642368002572E-2</v>
      </c>
      <c r="G43">
        <v>3.0315470282593314E-2</v>
      </c>
      <c r="H43" t="s">
        <v>148</v>
      </c>
      <c r="I43" t="s">
        <v>149</v>
      </c>
    </row>
    <row r="44" spans="1:9" x14ac:dyDescent="0.2">
      <c r="A44">
        <v>53</v>
      </c>
      <c r="B44" t="s">
        <v>144</v>
      </c>
      <c r="C44">
        <v>9.3924666666666674</v>
      </c>
      <c r="D44">
        <v>34.051520927464878</v>
      </c>
      <c r="E44">
        <v>1026.9047314578011</v>
      </c>
      <c r="F44">
        <v>2.1607543497328775E-2</v>
      </c>
      <c r="G44">
        <v>2.2630350271182483E-2</v>
      </c>
      <c r="H44" t="s">
        <v>145</v>
      </c>
      <c r="I44" t="s">
        <v>146</v>
      </c>
    </row>
    <row r="45" spans="1:9" x14ac:dyDescent="0.2">
      <c r="A45">
        <v>54</v>
      </c>
      <c r="B45" t="s">
        <v>144</v>
      </c>
      <c r="C45">
        <v>9.4439666666666664</v>
      </c>
      <c r="D45">
        <v>23.335543300065893</v>
      </c>
      <c r="E45">
        <v>930.04137753790815</v>
      </c>
      <c r="F45">
        <v>1.4807672408056286E-2</v>
      </c>
      <c r="G45">
        <v>2.0495730027942544E-2</v>
      </c>
      <c r="H45" t="s">
        <v>145</v>
      </c>
      <c r="I45" t="s">
        <v>146</v>
      </c>
    </row>
    <row r="46" spans="1:9" x14ac:dyDescent="0.2">
      <c r="A46">
        <v>55</v>
      </c>
      <c r="B46" t="s">
        <v>150</v>
      </c>
      <c r="C46">
        <v>9.6041833333333333</v>
      </c>
      <c r="D46">
        <v>346.34565669992833</v>
      </c>
      <c r="E46">
        <v>6406.8678146149241</v>
      </c>
      <c r="F46">
        <v>0.21977517122351212</v>
      </c>
      <c r="G46">
        <v>0.14119095797725348</v>
      </c>
      <c r="H46" t="s">
        <v>23</v>
      </c>
      <c r="I46" t="s">
        <v>151</v>
      </c>
    </row>
    <row r="47" spans="1:9" x14ac:dyDescent="0.2">
      <c r="A47">
        <v>56</v>
      </c>
      <c r="B47" t="s">
        <v>152</v>
      </c>
      <c r="C47">
        <v>9.7300666666666675</v>
      </c>
      <c r="D47">
        <v>8864.5707083334692</v>
      </c>
      <c r="E47">
        <v>237427.52068876894</v>
      </c>
      <c r="F47">
        <v>5.6250526246236072</v>
      </c>
      <c r="G47">
        <v>5.2322944793307373</v>
      </c>
      <c r="H47" t="s">
        <v>153</v>
      </c>
      <c r="I47" t="s">
        <v>154</v>
      </c>
    </row>
    <row r="48" spans="1:9" x14ac:dyDescent="0.2">
      <c r="A48">
        <v>57</v>
      </c>
      <c r="B48" t="s">
        <v>155</v>
      </c>
      <c r="C48">
        <v>9.8788333333333327</v>
      </c>
      <c r="D48">
        <v>263.3850179773849</v>
      </c>
      <c r="E48">
        <v>9541.8103597575391</v>
      </c>
      <c r="F48">
        <v>0.16713213029790991</v>
      </c>
      <c r="G48">
        <v>0.21027706275729074</v>
      </c>
      <c r="H48" t="s">
        <v>156</v>
      </c>
      <c r="I48" t="s">
        <v>157</v>
      </c>
    </row>
    <row r="49" spans="1:9" x14ac:dyDescent="0.2">
      <c r="A49">
        <v>58</v>
      </c>
      <c r="B49" t="s">
        <v>158</v>
      </c>
      <c r="C49">
        <v>9.9246166666666671</v>
      </c>
      <c r="D49">
        <v>117.05896005930254</v>
      </c>
      <c r="E49">
        <v>2909.8880579390693</v>
      </c>
      <c r="F49">
        <v>7.4280281830035738E-2</v>
      </c>
      <c r="G49">
        <v>6.4126480270091296E-2</v>
      </c>
      <c r="H49" t="s">
        <v>159</v>
      </c>
      <c r="I49" t="s">
        <v>160</v>
      </c>
    </row>
    <row r="50" spans="1:9" x14ac:dyDescent="0.2">
      <c r="A50">
        <v>59</v>
      </c>
      <c r="B50" t="s">
        <v>161</v>
      </c>
      <c r="C50">
        <v>9.9589499999999997</v>
      </c>
      <c r="D50">
        <v>13.306975000000222</v>
      </c>
      <c r="E50">
        <v>832.63599301106569</v>
      </c>
      <c r="F50">
        <v>8.4439999535661833E-3</v>
      </c>
      <c r="G50">
        <v>1.8349164818322373E-2</v>
      </c>
      <c r="H50" t="s">
        <v>23</v>
      </c>
      <c r="I50" t="s">
        <v>162</v>
      </c>
    </row>
    <row r="51" spans="1:9" x14ac:dyDescent="0.2">
      <c r="A51">
        <v>60</v>
      </c>
      <c r="B51" t="s">
        <v>163</v>
      </c>
      <c r="C51">
        <v>10.021883333333333</v>
      </c>
      <c r="D51">
        <v>127.17353029664667</v>
      </c>
      <c r="E51">
        <v>4439.1896402424627</v>
      </c>
      <c r="F51">
        <v>8.0698527194927039E-2</v>
      </c>
      <c r="G51">
        <v>9.7828370443163865E-2</v>
      </c>
      <c r="H51" t="s">
        <v>23</v>
      </c>
      <c r="I51" t="s">
        <v>164</v>
      </c>
    </row>
    <row r="52" spans="1:9" x14ac:dyDescent="0.2">
      <c r="A52">
        <v>61</v>
      </c>
      <c r="B52" t="s">
        <v>165</v>
      </c>
      <c r="C52">
        <v>10.136333333333333</v>
      </c>
      <c r="D52">
        <v>66.808916666667201</v>
      </c>
      <c r="E52">
        <v>3601.3403883495139</v>
      </c>
      <c r="F52">
        <v>4.2393894121777152E-2</v>
      </c>
      <c r="G52">
        <v>7.936431875078466E-2</v>
      </c>
      <c r="H52" t="s">
        <v>23</v>
      </c>
      <c r="I52" t="s">
        <v>166</v>
      </c>
    </row>
    <row r="53" spans="1:9" x14ac:dyDescent="0.2">
      <c r="A53">
        <v>62</v>
      </c>
      <c r="B53" t="s">
        <v>167</v>
      </c>
      <c r="C53">
        <v>10.176383333333334</v>
      </c>
      <c r="D53">
        <v>17.143041666666306</v>
      </c>
      <c r="E53">
        <v>823.20000000000027</v>
      </c>
      <c r="F53">
        <v>1.0878193055695306E-2</v>
      </c>
      <c r="G53">
        <v>1.8141219698920984E-2</v>
      </c>
      <c r="H53" t="s">
        <v>23</v>
      </c>
      <c r="I53" t="s">
        <v>168</v>
      </c>
    </row>
    <row r="54" spans="1:9" x14ac:dyDescent="0.2">
      <c r="A54">
        <v>63</v>
      </c>
      <c r="B54" t="s">
        <v>169</v>
      </c>
      <c r="C54">
        <v>10.245050000000001</v>
      </c>
      <c r="D54">
        <v>15.919866666666792</v>
      </c>
      <c r="E54">
        <v>1107.3906079359356</v>
      </c>
      <c r="F54">
        <v>1.0102021939179414E-2</v>
      </c>
      <c r="G54">
        <v>2.4404052856034343E-2</v>
      </c>
      <c r="H54" t="s">
        <v>23</v>
      </c>
      <c r="I54" t="s">
        <v>170</v>
      </c>
    </row>
    <row r="55" spans="1:9" x14ac:dyDescent="0.2">
      <c r="A55">
        <v>64</v>
      </c>
      <c r="B55" t="s">
        <v>171</v>
      </c>
      <c r="C55">
        <v>10.342316666666667</v>
      </c>
      <c r="D55">
        <v>12.25339999999963</v>
      </c>
      <c r="E55">
        <v>616.73294509151492</v>
      </c>
      <c r="F55">
        <v>7.775449268599589E-3</v>
      </c>
      <c r="G55">
        <v>1.3591214592404933E-2</v>
      </c>
      <c r="H55" t="s">
        <v>23</v>
      </c>
      <c r="I55" t="s">
        <v>172</v>
      </c>
    </row>
    <row r="56" spans="1:9" x14ac:dyDescent="0.2">
      <c r="A56">
        <v>65</v>
      </c>
      <c r="B56" t="s">
        <v>169</v>
      </c>
      <c r="C56">
        <v>10.433866666666667</v>
      </c>
      <c r="D56">
        <v>97.570099999998405</v>
      </c>
      <c r="E56">
        <v>3224.2307020099047</v>
      </c>
      <c r="F56">
        <v>6.1913539318246308E-2</v>
      </c>
      <c r="G56">
        <v>7.1053787081107753E-2</v>
      </c>
      <c r="H56" t="s">
        <v>23</v>
      </c>
      <c r="I56" t="s">
        <v>170</v>
      </c>
    </row>
    <row r="57" spans="1:9" x14ac:dyDescent="0.2">
      <c r="A57">
        <v>66</v>
      </c>
      <c r="B57" t="s">
        <v>173</v>
      </c>
      <c r="C57">
        <v>10.531133333333333</v>
      </c>
      <c r="D57">
        <v>85.690028458419022</v>
      </c>
      <c r="E57">
        <v>2579.9187799862971</v>
      </c>
      <c r="F57">
        <v>5.4374987277270991E-2</v>
      </c>
      <c r="G57">
        <v>5.6854802469756549E-2</v>
      </c>
      <c r="H57" t="s">
        <v>23</v>
      </c>
      <c r="I57" t="s">
        <v>174</v>
      </c>
    </row>
    <row r="58" spans="1:9" x14ac:dyDescent="0.2">
      <c r="A58">
        <v>67</v>
      </c>
      <c r="B58" t="s">
        <v>175</v>
      </c>
      <c r="C58">
        <v>10.571200000000001</v>
      </c>
      <c r="D58">
        <v>47.613838208246705</v>
      </c>
      <c r="E58">
        <v>2071.4054146675758</v>
      </c>
      <c r="F58">
        <v>3.0213572026665435E-2</v>
      </c>
      <c r="G58">
        <v>4.5648470253910355E-2</v>
      </c>
      <c r="H58" t="s">
        <v>23</v>
      </c>
      <c r="I58" t="s">
        <v>176</v>
      </c>
    </row>
    <row r="59" spans="1:9" x14ac:dyDescent="0.2">
      <c r="A59">
        <v>68</v>
      </c>
      <c r="B59" t="s">
        <v>177</v>
      </c>
      <c r="C59">
        <v>10.657016666666667</v>
      </c>
      <c r="D59">
        <v>31.91271343450893</v>
      </c>
      <c r="E59">
        <v>1093.1170001361115</v>
      </c>
      <c r="F59">
        <v>2.0250353724957013E-2</v>
      </c>
      <c r="G59">
        <v>2.4089499096324869E-2</v>
      </c>
      <c r="H59" t="s">
        <v>178</v>
      </c>
      <c r="I59" t="s">
        <v>179</v>
      </c>
    </row>
    <row r="60" spans="1:9" x14ac:dyDescent="0.2">
      <c r="A60">
        <v>69</v>
      </c>
      <c r="B60" t="s">
        <v>180</v>
      </c>
      <c r="C60">
        <v>10.748583333333334</v>
      </c>
      <c r="D60">
        <v>2446.2023888085823</v>
      </c>
      <c r="E60">
        <v>92753.916319586235</v>
      </c>
      <c r="F60">
        <v>1.5522485656967728</v>
      </c>
      <c r="G60">
        <v>2.0440587632275826</v>
      </c>
      <c r="H60" t="s">
        <v>181</v>
      </c>
      <c r="I60" t="s">
        <v>182</v>
      </c>
    </row>
    <row r="61" spans="1:9" x14ac:dyDescent="0.2">
      <c r="A61">
        <v>70</v>
      </c>
      <c r="B61" t="s">
        <v>183</v>
      </c>
      <c r="C61">
        <v>10.811516666666668</v>
      </c>
      <c r="D61">
        <v>240.68794568849839</v>
      </c>
      <c r="E61">
        <v>7768.3513815162687</v>
      </c>
      <c r="F61">
        <v>0.15272960249925974</v>
      </c>
      <c r="G61">
        <v>0.17119456889030971</v>
      </c>
      <c r="H61" t="s">
        <v>184</v>
      </c>
      <c r="I61" t="s">
        <v>185</v>
      </c>
    </row>
    <row r="62" spans="1:9" x14ac:dyDescent="0.2">
      <c r="A62">
        <v>71</v>
      </c>
      <c r="B62" t="s">
        <v>186</v>
      </c>
      <c r="C62">
        <v>10.885899999999999</v>
      </c>
      <c r="D62">
        <v>43.216728547932689</v>
      </c>
      <c r="E62">
        <v>1708.522907309105</v>
      </c>
      <c r="F62">
        <v>2.7423366606762239E-2</v>
      </c>
      <c r="G62">
        <v>3.7651469171688136E-2</v>
      </c>
      <c r="H62" t="s">
        <v>187</v>
      </c>
      <c r="I62" t="s">
        <v>188</v>
      </c>
    </row>
    <row r="63" spans="1:9" x14ac:dyDescent="0.2">
      <c r="A63">
        <v>72</v>
      </c>
      <c r="B63" t="s">
        <v>189</v>
      </c>
      <c r="C63">
        <v>10.914516666666668</v>
      </c>
      <c r="D63">
        <v>90.717144388866572</v>
      </c>
      <c r="E63">
        <v>2304.8409691030383</v>
      </c>
      <c r="F63">
        <v>5.7564965967639777E-2</v>
      </c>
      <c r="G63">
        <v>5.0792792020860254E-2</v>
      </c>
      <c r="H63" t="s">
        <v>23</v>
      </c>
      <c r="I63" t="s">
        <v>190</v>
      </c>
    </row>
    <row r="64" spans="1:9" x14ac:dyDescent="0.2">
      <c r="A64">
        <v>73</v>
      </c>
      <c r="B64" t="s">
        <v>191</v>
      </c>
      <c r="C64">
        <v>11.051833333333333</v>
      </c>
      <c r="D64">
        <v>15777.019052554482</v>
      </c>
      <c r="E64">
        <v>563045.44755682594</v>
      </c>
      <c r="F64">
        <v>10.011377352642553</v>
      </c>
      <c r="G64">
        <v>12.408079646022436</v>
      </c>
      <c r="H64" t="s">
        <v>192</v>
      </c>
      <c r="I64" t="s">
        <v>182</v>
      </c>
    </row>
    <row r="65" spans="1:9" x14ac:dyDescent="0.2">
      <c r="A65">
        <v>74</v>
      </c>
      <c r="B65" t="s">
        <v>193</v>
      </c>
      <c r="C65">
        <v>11.114783333333333</v>
      </c>
      <c r="D65">
        <v>513.20684935959821</v>
      </c>
      <c r="E65">
        <v>11783.928814482102</v>
      </c>
      <c r="F65">
        <v>0.32565768043918492</v>
      </c>
      <c r="G65">
        <v>0.25968761120015216</v>
      </c>
      <c r="H65" t="s">
        <v>194</v>
      </c>
      <c r="I65" t="s">
        <v>195</v>
      </c>
    </row>
    <row r="66" spans="1:9" x14ac:dyDescent="0.2">
      <c r="A66">
        <v>75</v>
      </c>
      <c r="B66" t="s">
        <v>196</v>
      </c>
      <c r="C66">
        <v>11.177716666666667</v>
      </c>
      <c r="D66">
        <v>39.234553746426229</v>
      </c>
      <c r="E66">
        <v>1717.3638764121431</v>
      </c>
      <c r="F66">
        <v>2.4896459940219884E-2</v>
      </c>
      <c r="G66">
        <v>3.7846301488074906E-2</v>
      </c>
      <c r="H66" t="s">
        <v>23</v>
      </c>
      <c r="I66" t="s">
        <v>197</v>
      </c>
    </row>
    <row r="67" spans="1:9" x14ac:dyDescent="0.2">
      <c r="A67">
        <v>76</v>
      </c>
      <c r="B67" t="s">
        <v>198</v>
      </c>
      <c r="C67">
        <v>11.2235</v>
      </c>
      <c r="D67">
        <v>11.705523471031412</v>
      </c>
      <c r="E67">
        <v>430.26353613719903</v>
      </c>
      <c r="F67">
        <v>7.4277917893326977E-3</v>
      </c>
      <c r="G67">
        <v>9.4819063866612655E-3</v>
      </c>
      <c r="H67" t="s">
        <v>23</v>
      </c>
      <c r="I67" t="s">
        <v>199</v>
      </c>
    </row>
    <row r="68" spans="1:9" x14ac:dyDescent="0.2">
      <c r="A68">
        <v>77</v>
      </c>
      <c r="B68" t="s">
        <v>200</v>
      </c>
      <c r="C68">
        <v>11.275</v>
      </c>
      <c r="D68">
        <v>19.782749999999467</v>
      </c>
      <c r="E68">
        <v>1441.5641025641014</v>
      </c>
      <c r="F68">
        <v>1.2553231675974753E-2</v>
      </c>
      <c r="G68">
        <v>3.1768380824457258E-2</v>
      </c>
      <c r="H68" t="s">
        <v>23</v>
      </c>
      <c r="I68" t="s">
        <v>201</v>
      </c>
    </row>
    <row r="69" spans="1:9" x14ac:dyDescent="0.2">
      <c r="A69">
        <v>78</v>
      </c>
      <c r="B69" t="s">
        <v>202</v>
      </c>
      <c r="C69">
        <v>11.337933333333334</v>
      </c>
      <c r="D69">
        <v>242.21267499999794</v>
      </c>
      <c r="E69">
        <v>8993.8570468295056</v>
      </c>
      <c r="F69">
        <v>0.15369712624041826</v>
      </c>
      <c r="G69">
        <v>0.19820157510595562</v>
      </c>
      <c r="H69" t="s">
        <v>203</v>
      </c>
      <c r="I69" t="s">
        <v>204</v>
      </c>
    </row>
    <row r="70" spans="1:9" x14ac:dyDescent="0.2">
      <c r="A70">
        <v>80</v>
      </c>
      <c r="B70" t="s">
        <v>205</v>
      </c>
      <c r="C70">
        <v>11.698416666666667</v>
      </c>
      <c r="D70">
        <v>2199.8470434178944</v>
      </c>
      <c r="E70">
        <v>47950.017184883138</v>
      </c>
      <c r="F70">
        <v>1.3959226896024903</v>
      </c>
      <c r="G70">
        <v>1.0566955737585053</v>
      </c>
      <c r="H70" t="s">
        <v>206</v>
      </c>
      <c r="I70" t="s">
        <v>207</v>
      </c>
    </row>
    <row r="71" spans="1:9" x14ac:dyDescent="0.2">
      <c r="A71">
        <v>86</v>
      </c>
      <c r="B71" t="s">
        <v>208</v>
      </c>
      <c r="C71">
        <v>11.984516666666666</v>
      </c>
      <c r="D71">
        <v>21959.632815418325</v>
      </c>
      <c r="E71">
        <v>670109.13784315158</v>
      </c>
      <c r="F71">
        <v>13.934582312938867</v>
      </c>
      <c r="G71">
        <v>14.767489178652982</v>
      </c>
      <c r="H71" t="s">
        <v>209</v>
      </c>
      <c r="I71" t="s">
        <v>210</v>
      </c>
    </row>
    <row r="72" spans="1:9" x14ac:dyDescent="0.2">
      <c r="A72">
        <v>87</v>
      </c>
      <c r="B72" t="s">
        <v>211</v>
      </c>
      <c r="C72">
        <v>12.087516666666668</v>
      </c>
      <c r="D72">
        <v>90.421391666671184</v>
      </c>
      <c r="E72">
        <v>3238.6028394613113</v>
      </c>
      <c r="F72">
        <v>5.7377294767199043E-2</v>
      </c>
      <c r="G72">
        <v>7.137051218199339E-2</v>
      </c>
      <c r="H72" t="s">
        <v>212</v>
      </c>
      <c r="I72" t="s">
        <v>213</v>
      </c>
    </row>
    <row r="73" spans="1:9" x14ac:dyDescent="0.2">
      <c r="A73">
        <v>88</v>
      </c>
      <c r="B73" t="s">
        <v>214</v>
      </c>
      <c r="C73">
        <v>12.150466666666667</v>
      </c>
      <c r="D73">
        <v>472.98877500001385</v>
      </c>
      <c r="E73">
        <v>15431.277346278308</v>
      </c>
      <c r="F73">
        <v>0.30013712313560192</v>
      </c>
      <c r="G73">
        <v>0.3400658316008468</v>
      </c>
      <c r="H73" t="s">
        <v>215</v>
      </c>
      <c r="I73" t="s">
        <v>216</v>
      </c>
    </row>
    <row r="74" spans="1:9" x14ac:dyDescent="0.2">
      <c r="A74">
        <v>89</v>
      </c>
      <c r="B74" t="s">
        <v>217</v>
      </c>
      <c r="C74">
        <v>12.184783333333334</v>
      </c>
      <c r="D74">
        <v>425.69011666665619</v>
      </c>
      <c r="E74">
        <v>16090.111974110041</v>
      </c>
      <c r="F74">
        <v>0.2701235498952067</v>
      </c>
      <c r="G74">
        <v>0.35458485945404444</v>
      </c>
      <c r="H74" t="s">
        <v>218</v>
      </c>
      <c r="I74" t="s">
        <v>219</v>
      </c>
    </row>
    <row r="75" spans="1:9" x14ac:dyDescent="0.2">
      <c r="A75">
        <v>90</v>
      </c>
      <c r="B75" t="s">
        <v>211</v>
      </c>
      <c r="C75">
        <v>12.299233333333333</v>
      </c>
      <c r="D75">
        <v>26.544224999999273</v>
      </c>
      <c r="E75">
        <v>1426.3453132588638</v>
      </c>
      <c r="F75">
        <v>1.6843755599408615E-2</v>
      </c>
      <c r="G75">
        <v>3.1432997685076909E-2</v>
      </c>
      <c r="H75" t="s">
        <v>212</v>
      </c>
      <c r="I75" t="s">
        <v>213</v>
      </c>
    </row>
    <row r="76" spans="1:9" x14ac:dyDescent="0.2">
      <c r="A76">
        <v>91</v>
      </c>
      <c r="B76" t="s">
        <v>220</v>
      </c>
      <c r="C76">
        <v>12.362166666666667</v>
      </c>
      <c r="D76">
        <v>30.116641666666382</v>
      </c>
      <c r="E76">
        <v>1926.2674757281529</v>
      </c>
      <c r="F76">
        <v>1.9110648425723811E-2</v>
      </c>
      <c r="G76">
        <v>4.2450001793088381E-2</v>
      </c>
      <c r="H76" t="s">
        <v>23</v>
      </c>
      <c r="I76" t="s">
        <v>170</v>
      </c>
    </row>
    <row r="77" spans="1:9" x14ac:dyDescent="0.2">
      <c r="A77">
        <v>92</v>
      </c>
      <c r="B77" t="s">
        <v>221</v>
      </c>
      <c r="C77">
        <v>12.402233333333333</v>
      </c>
      <c r="D77">
        <v>23.560574874343061</v>
      </c>
      <c r="E77">
        <v>1371.7179575051391</v>
      </c>
      <c r="F77">
        <v>1.4950467190698268E-2</v>
      </c>
      <c r="G77">
        <v>3.0229150670621815E-2</v>
      </c>
      <c r="H77" t="s">
        <v>23</v>
      </c>
      <c r="I77" t="s">
        <v>222</v>
      </c>
    </row>
    <row r="78" spans="1:9" x14ac:dyDescent="0.2">
      <c r="A78">
        <v>93</v>
      </c>
      <c r="B78" t="s">
        <v>223</v>
      </c>
      <c r="C78">
        <v>12.442283333333334</v>
      </c>
      <c r="D78">
        <v>149.86929179232138</v>
      </c>
      <c r="E78">
        <v>5645.3589787525743</v>
      </c>
      <c r="F78">
        <v>9.5100223223936131E-2</v>
      </c>
      <c r="G78">
        <v>0.12440925353841911</v>
      </c>
      <c r="H78" t="s">
        <v>224</v>
      </c>
      <c r="I78" t="s">
        <v>225</v>
      </c>
    </row>
    <row r="79" spans="1:9" x14ac:dyDescent="0.2">
      <c r="A79">
        <v>94</v>
      </c>
      <c r="B79" t="s">
        <v>226</v>
      </c>
      <c r="C79">
        <v>12.533833333333334</v>
      </c>
      <c r="D79">
        <v>231.50085833333071</v>
      </c>
      <c r="E79">
        <v>6999.3333333333358</v>
      </c>
      <c r="F79">
        <v>0.1468998955072166</v>
      </c>
      <c r="G79">
        <v>0.15424738064380583</v>
      </c>
      <c r="H79" t="s">
        <v>227</v>
      </c>
      <c r="I79" t="s">
        <v>195</v>
      </c>
    </row>
    <row r="80" spans="1:9" x14ac:dyDescent="0.2">
      <c r="A80">
        <v>97</v>
      </c>
      <c r="B80" t="s">
        <v>228</v>
      </c>
      <c r="C80">
        <v>12.711216666666667</v>
      </c>
      <c r="D80">
        <v>226.86680511846004</v>
      </c>
      <c r="E80">
        <v>4789.7001741332915</v>
      </c>
      <c r="F80">
        <v>0.14395933650479942</v>
      </c>
      <c r="G80">
        <v>0.10555272491607399</v>
      </c>
      <c r="H80" t="s">
        <v>229</v>
      </c>
      <c r="I80" t="s">
        <v>230</v>
      </c>
    </row>
    <row r="81" spans="1:9" x14ac:dyDescent="0.2">
      <c r="A81">
        <v>98</v>
      </c>
      <c r="B81" t="s">
        <v>231</v>
      </c>
      <c r="C81">
        <v>12.779883333333334</v>
      </c>
      <c r="D81">
        <v>417.6073955854547</v>
      </c>
      <c r="E81">
        <v>10857.400348266583</v>
      </c>
      <c r="F81">
        <v>0.26499462341609686</v>
      </c>
      <c r="G81">
        <v>0.23926929674082265</v>
      </c>
      <c r="H81" t="s">
        <v>232</v>
      </c>
      <c r="I81" t="s">
        <v>233</v>
      </c>
    </row>
    <row r="82" spans="1:9" x14ac:dyDescent="0.2">
      <c r="A82">
        <v>99</v>
      </c>
      <c r="B82" t="s">
        <v>234</v>
      </c>
      <c r="C82">
        <v>12.854266666666668</v>
      </c>
      <c r="D82">
        <v>6.1847916666665128</v>
      </c>
      <c r="E82">
        <v>504.02038439138096</v>
      </c>
      <c r="F82">
        <v>3.9245869588052642E-3</v>
      </c>
      <c r="G82">
        <v>1.110731842320049E-2</v>
      </c>
      <c r="H82" t="s">
        <v>235</v>
      </c>
      <c r="I82" t="s">
        <v>236</v>
      </c>
    </row>
    <row r="83" spans="1:9" x14ac:dyDescent="0.2">
      <c r="A83">
        <v>100</v>
      </c>
      <c r="B83" t="s">
        <v>237</v>
      </c>
      <c r="C83">
        <v>12.894316666666667</v>
      </c>
      <c r="D83">
        <v>99.74741686559841</v>
      </c>
      <c r="E83">
        <v>4276.220104479974</v>
      </c>
      <c r="F83">
        <v>6.3295165383676286E-2</v>
      </c>
      <c r="G83">
        <v>9.4236939256941252E-2</v>
      </c>
      <c r="H83" t="s">
        <v>23</v>
      </c>
      <c r="I83" t="s">
        <v>238</v>
      </c>
    </row>
    <row r="84" spans="1:9" x14ac:dyDescent="0.2">
      <c r="A84">
        <v>101</v>
      </c>
      <c r="B84" t="s">
        <v>239</v>
      </c>
      <c r="C84">
        <v>12.940083333333334</v>
      </c>
      <c r="D84">
        <v>520.41456386760183</v>
      </c>
      <c r="E84">
        <v>14730.339686560075</v>
      </c>
      <c r="F84">
        <v>0.33023136761984767</v>
      </c>
      <c r="G84">
        <v>0.32461896075512769</v>
      </c>
      <c r="H84" t="s">
        <v>240</v>
      </c>
      <c r="I84" t="s">
        <v>241</v>
      </c>
    </row>
    <row r="85" spans="1:9" x14ac:dyDescent="0.2">
      <c r="A85">
        <v>102</v>
      </c>
      <c r="B85" t="s">
        <v>242</v>
      </c>
      <c r="C85">
        <v>13.025916666666667</v>
      </c>
      <c r="D85">
        <v>447.86659868133734</v>
      </c>
      <c r="E85">
        <v>7901.4649042266901</v>
      </c>
      <c r="F85">
        <v>0.28419573482846361</v>
      </c>
      <c r="G85">
        <v>0.17412805001322884</v>
      </c>
      <c r="H85" t="s">
        <v>243</v>
      </c>
      <c r="I85" t="s">
        <v>244</v>
      </c>
    </row>
    <row r="86" spans="1:9" x14ac:dyDescent="0.2">
      <c r="A86">
        <v>103</v>
      </c>
      <c r="B86" t="s">
        <v>245</v>
      </c>
      <c r="C86">
        <v>13.094583333333334</v>
      </c>
      <c r="D86">
        <v>152.62531304284954</v>
      </c>
      <c r="E86">
        <v>3234.1650783599812</v>
      </c>
      <c r="F86">
        <v>9.684906872124012E-2</v>
      </c>
      <c r="G86">
        <v>7.1272715292889213E-2</v>
      </c>
      <c r="H86" t="s">
        <v>246</v>
      </c>
      <c r="I86" t="s">
        <v>247</v>
      </c>
    </row>
    <row r="87" spans="1:9" x14ac:dyDescent="0.2">
      <c r="A87">
        <v>104</v>
      </c>
      <c r="B87" t="s">
        <v>248</v>
      </c>
      <c r="C87">
        <v>13.1518</v>
      </c>
      <c r="D87">
        <v>27.896356838689059</v>
      </c>
      <c r="E87">
        <v>1231.5749564666753</v>
      </c>
      <c r="F87">
        <v>1.7701756849362996E-2</v>
      </c>
      <c r="G87">
        <v>2.714075784857993E-2</v>
      </c>
      <c r="H87" t="s">
        <v>23</v>
      </c>
      <c r="I87" t="s">
        <v>249</v>
      </c>
    </row>
    <row r="88" spans="1:9" x14ac:dyDescent="0.2">
      <c r="A88">
        <v>105</v>
      </c>
      <c r="B88" t="s">
        <v>250</v>
      </c>
      <c r="C88">
        <v>13.186133333333334</v>
      </c>
      <c r="D88">
        <v>25.906306082065207</v>
      </c>
      <c r="E88">
        <v>1086.2984781184018</v>
      </c>
      <c r="F88">
        <v>1.6438961323217809E-2</v>
      </c>
      <c r="G88">
        <v>2.3939236334000767E-2</v>
      </c>
      <c r="H88" t="s">
        <v>23</v>
      </c>
      <c r="I88" t="s">
        <v>251</v>
      </c>
    </row>
    <row r="89" spans="1:9" x14ac:dyDescent="0.2">
      <c r="A89">
        <v>108</v>
      </c>
      <c r="B89" t="s">
        <v>252</v>
      </c>
      <c r="C89">
        <v>13.3063</v>
      </c>
      <c r="D89">
        <v>354.43125644493921</v>
      </c>
      <c r="E89">
        <v>7968.3878249472082</v>
      </c>
      <c r="F89">
        <v>0.22490592437149848</v>
      </c>
      <c r="G89">
        <v>0.17560285978932746</v>
      </c>
      <c r="H89" t="s">
        <v>253</v>
      </c>
      <c r="I89" t="s">
        <v>254</v>
      </c>
    </row>
    <row r="90" spans="1:9" x14ac:dyDescent="0.2">
      <c r="A90">
        <v>111</v>
      </c>
      <c r="B90" t="s">
        <v>255</v>
      </c>
      <c r="C90">
        <v>13.483683333333333</v>
      </c>
      <c r="D90">
        <v>76.915641666665749</v>
      </c>
      <c r="E90">
        <v>2789.7429176595188</v>
      </c>
      <c r="F90">
        <v>4.8807161256546133E-2</v>
      </c>
      <c r="G90">
        <v>6.1478789082568215E-2</v>
      </c>
      <c r="H90" t="s">
        <v>256</v>
      </c>
      <c r="I90" t="s">
        <v>257</v>
      </c>
    </row>
    <row r="91" spans="1:9" x14ac:dyDescent="0.2">
      <c r="A91">
        <v>113</v>
      </c>
      <c r="B91" t="s">
        <v>258</v>
      </c>
      <c r="C91">
        <v>13.5924</v>
      </c>
      <c r="D91">
        <v>910.94811974261233</v>
      </c>
      <c r="E91">
        <v>30093.372159187129</v>
      </c>
      <c r="F91">
        <v>0.5780461660751367</v>
      </c>
      <c r="G91">
        <v>0.66318085012294181</v>
      </c>
      <c r="H91" t="s">
        <v>259</v>
      </c>
      <c r="I91" t="s">
        <v>260</v>
      </c>
    </row>
    <row r="92" spans="1:9" x14ac:dyDescent="0.2">
      <c r="A92">
        <v>114</v>
      </c>
      <c r="B92" t="s">
        <v>261</v>
      </c>
      <c r="C92">
        <v>13.626733333333334</v>
      </c>
      <c r="D92">
        <v>158.14725070279025</v>
      </c>
      <c r="E92">
        <v>6312.6976460626593</v>
      </c>
      <c r="F92">
        <v>0.1003530387327667</v>
      </c>
      <c r="G92">
        <v>0.13911568864198737</v>
      </c>
      <c r="H92" t="s">
        <v>262</v>
      </c>
      <c r="I92" t="s">
        <v>263</v>
      </c>
    </row>
    <row r="93" spans="1:9" x14ac:dyDescent="0.2">
      <c r="A93">
        <v>116</v>
      </c>
      <c r="B93" t="s">
        <v>264</v>
      </c>
      <c r="C93">
        <v>13.798383333333334</v>
      </c>
      <c r="D93">
        <v>1229.7398404603352</v>
      </c>
      <c r="E93">
        <v>26763.325893310754</v>
      </c>
      <c r="F93">
        <v>0.7803368651211402</v>
      </c>
      <c r="G93">
        <v>0.58979515901891522</v>
      </c>
      <c r="H93" t="s">
        <v>265</v>
      </c>
      <c r="I93" t="s">
        <v>266</v>
      </c>
    </row>
    <row r="94" spans="1:9" x14ac:dyDescent="0.2">
      <c r="A94">
        <v>117</v>
      </c>
      <c r="B94" t="s">
        <v>267</v>
      </c>
      <c r="C94">
        <v>13.861333333333334</v>
      </c>
      <c r="D94">
        <v>56.502558333336026</v>
      </c>
      <c r="E94">
        <v>1854.3265372169053</v>
      </c>
      <c r="F94">
        <v>3.5853948770704989E-2</v>
      </c>
      <c r="G94">
        <v>4.0864607756549133E-2</v>
      </c>
      <c r="H94" t="s">
        <v>23</v>
      </c>
      <c r="I94" t="s">
        <v>268</v>
      </c>
    </row>
    <row r="95" spans="1:9" x14ac:dyDescent="0.2">
      <c r="A95">
        <v>120</v>
      </c>
      <c r="B95" t="s">
        <v>269</v>
      </c>
      <c r="C95">
        <v>14.1646</v>
      </c>
      <c r="D95">
        <v>346.27492968577531</v>
      </c>
      <c r="E95">
        <v>7894.481265722231</v>
      </c>
      <c r="F95">
        <v>0.21973029108326808</v>
      </c>
      <c r="G95">
        <v>0.17397414850641735</v>
      </c>
      <c r="H95" t="s">
        <v>270</v>
      </c>
      <c r="I95" t="s">
        <v>241</v>
      </c>
    </row>
    <row r="96" spans="1:9" x14ac:dyDescent="0.2">
      <c r="A96">
        <v>121</v>
      </c>
      <c r="B96" t="s">
        <v>271</v>
      </c>
      <c r="C96">
        <v>14.261866666666666</v>
      </c>
      <c r="D96">
        <v>21.865998220974632</v>
      </c>
      <c r="E96">
        <v>965.44382022472291</v>
      </c>
      <c r="F96">
        <v>1.3875166066110818E-2</v>
      </c>
      <c r="G96">
        <v>2.1275909195410916E-2</v>
      </c>
      <c r="H96" t="s">
        <v>23</v>
      </c>
      <c r="I96" t="s">
        <v>272</v>
      </c>
    </row>
    <row r="97" spans="1:9" x14ac:dyDescent="0.2">
      <c r="A97">
        <v>123</v>
      </c>
      <c r="B97" t="s">
        <v>271</v>
      </c>
      <c r="C97">
        <v>14.376300000000001</v>
      </c>
      <c r="D97">
        <v>33.581441666667757</v>
      </c>
      <c r="E97">
        <v>1118.8077669902941</v>
      </c>
      <c r="F97">
        <v>2.1309252619323576E-2</v>
      </c>
      <c r="G97">
        <v>2.4655657801056989E-2</v>
      </c>
      <c r="H97" t="s">
        <v>23</v>
      </c>
      <c r="I97" t="s">
        <v>272</v>
      </c>
    </row>
    <row r="98" spans="1:9" x14ac:dyDescent="0.2">
      <c r="A98">
        <v>125</v>
      </c>
      <c r="B98" t="s">
        <v>273</v>
      </c>
      <c r="C98">
        <v>14.502183333333333</v>
      </c>
      <c r="D98">
        <v>2183.468549999995</v>
      </c>
      <c r="E98">
        <v>70747.255011708257</v>
      </c>
      <c r="F98">
        <v>1.3855296440259994</v>
      </c>
      <c r="G98">
        <v>1.5590883093573711</v>
      </c>
      <c r="H98" t="s">
        <v>274</v>
      </c>
      <c r="I98" t="s">
        <v>230</v>
      </c>
    </row>
    <row r="99" spans="1:9" x14ac:dyDescent="0.2">
      <c r="A99">
        <v>128</v>
      </c>
      <c r="B99" t="s">
        <v>275</v>
      </c>
      <c r="C99">
        <v>14.794016666666668</v>
      </c>
      <c r="D99">
        <v>172.30214915176603</v>
      </c>
      <c r="E99">
        <v>7167.4264099037155</v>
      </c>
      <c r="F99">
        <v>0.10933509226829101</v>
      </c>
      <c r="G99">
        <v>0.15795172154751186</v>
      </c>
      <c r="H99" t="s">
        <v>23</v>
      </c>
      <c r="I99" t="s">
        <v>276</v>
      </c>
    </row>
    <row r="100" spans="1:9" x14ac:dyDescent="0.2">
      <c r="A100">
        <v>130</v>
      </c>
      <c r="B100" t="s">
        <v>277</v>
      </c>
      <c r="C100">
        <v>14.897</v>
      </c>
      <c r="D100">
        <v>115.13189704263847</v>
      </c>
      <c r="E100">
        <v>4189.9160935350756</v>
      </c>
      <c r="F100">
        <v>7.3057455453400172E-2</v>
      </c>
      <c r="G100">
        <v>9.2335019889291242E-2</v>
      </c>
      <c r="H100" t="s">
        <v>23</v>
      </c>
      <c r="I100" t="s">
        <v>278</v>
      </c>
    </row>
    <row r="101" spans="1:9" x14ac:dyDescent="0.2">
      <c r="A101">
        <v>131</v>
      </c>
      <c r="B101" t="s">
        <v>279</v>
      </c>
      <c r="C101">
        <v>14.931333333333333</v>
      </c>
      <c r="D101">
        <v>99.096017514902229</v>
      </c>
      <c r="E101">
        <v>3650.4195323246208</v>
      </c>
      <c r="F101">
        <v>6.2881817039140323E-2</v>
      </c>
      <c r="G101">
        <v>8.04458973871882E-2</v>
      </c>
      <c r="H101" t="s">
        <v>280</v>
      </c>
      <c r="I101" t="s">
        <v>281</v>
      </c>
    </row>
    <row r="102" spans="1:9" x14ac:dyDescent="0.2">
      <c r="A102">
        <v>136</v>
      </c>
      <c r="B102" t="s">
        <v>282</v>
      </c>
      <c r="C102">
        <v>15.331883333333334</v>
      </c>
      <c r="D102">
        <v>31.832421589952432</v>
      </c>
      <c r="E102">
        <v>1081.146436201208</v>
      </c>
      <c r="F102">
        <v>2.0199404179195725E-2</v>
      </c>
      <c r="G102">
        <v>2.3825698525062642E-2</v>
      </c>
      <c r="H102" t="s">
        <v>23</v>
      </c>
      <c r="I102" t="s">
        <v>283</v>
      </c>
    </row>
    <row r="103" spans="1:9" x14ac:dyDescent="0.2">
      <c r="A103">
        <v>141</v>
      </c>
      <c r="B103" t="s">
        <v>284</v>
      </c>
      <c r="C103">
        <v>15.595083333333333</v>
      </c>
      <c r="D103">
        <v>142.16028731018909</v>
      </c>
      <c r="E103">
        <v>5411.2131240391645</v>
      </c>
      <c r="F103">
        <v>9.0208440268819329E-2</v>
      </c>
      <c r="G103">
        <v>0.1192492785724964</v>
      </c>
      <c r="H103" t="s">
        <v>285</v>
      </c>
      <c r="I103" t="s">
        <v>286</v>
      </c>
    </row>
    <row r="104" spans="1:9" x14ac:dyDescent="0.2">
      <c r="A104">
        <v>144</v>
      </c>
      <c r="B104" t="s">
        <v>287</v>
      </c>
      <c r="C104">
        <v>15.772466666666666</v>
      </c>
      <c r="D104">
        <v>9521.449075718836</v>
      </c>
      <c r="E104">
        <v>329094.36220990325</v>
      </c>
      <c r="F104">
        <v>6.041877703478912</v>
      </c>
      <c r="G104">
        <v>7.2523968981124058</v>
      </c>
      <c r="H104" t="s">
        <v>288</v>
      </c>
      <c r="I104" t="s">
        <v>289</v>
      </c>
    </row>
    <row r="105" spans="1:9" x14ac:dyDescent="0.2">
      <c r="A105">
        <v>147</v>
      </c>
      <c r="B105" t="s">
        <v>290</v>
      </c>
      <c r="C105">
        <v>16.007066666666667</v>
      </c>
      <c r="D105">
        <v>1617.3028097257384</v>
      </c>
      <c r="E105">
        <v>35553.699999999997</v>
      </c>
      <c r="F105">
        <v>1.0262666646797163</v>
      </c>
      <c r="G105">
        <v>0.78351249126521705</v>
      </c>
      <c r="H105" t="s">
        <v>291</v>
      </c>
      <c r="I105" t="s">
        <v>292</v>
      </c>
    </row>
    <row r="106" spans="1:9" x14ac:dyDescent="0.2">
      <c r="A106">
        <v>148</v>
      </c>
      <c r="B106" t="s">
        <v>282</v>
      </c>
      <c r="C106">
        <v>16.087183333333332</v>
      </c>
      <c r="D106">
        <v>70.423706940939923</v>
      </c>
      <c r="E106">
        <v>2244.601262135915</v>
      </c>
      <c r="F106">
        <v>4.4687675308569028E-2</v>
      </c>
      <c r="G106">
        <v>4.9465263159478801E-2</v>
      </c>
      <c r="H106" t="s">
        <v>23</v>
      </c>
      <c r="I106" t="s">
        <v>283</v>
      </c>
    </row>
    <row r="107" spans="1:9" x14ac:dyDescent="0.2">
      <c r="A107">
        <v>149</v>
      </c>
      <c r="B107" t="s">
        <v>293</v>
      </c>
      <c r="C107">
        <v>16.190166666666666</v>
      </c>
      <c r="D107">
        <v>59.905058333332505</v>
      </c>
      <c r="E107">
        <v>4649.6196854979662</v>
      </c>
      <c r="F107">
        <v>3.8013020223231109E-2</v>
      </c>
      <c r="G107">
        <v>0.10246570970729649</v>
      </c>
      <c r="H107" t="s">
        <v>294</v>
      </c>
      <c r="I107" t="s">
        <v>295</v>
      </c>
    </row>
    <row r="108" spans="1:9" x14ac:dyDescent="0.2">
      <c r="A108">
        <v>151</v>
      </c>
      <c r="B108" t="s">
        <v>296</v>
      </c>
      <c r="C108">
        <v>16.276</v>
      </c>
      <c r="D108">
        <v>481.38195574109176</v>
      </c>
      <c r="E108">
        <v>16891.399999999983</v>
      </c>
      <c r="F108">
        <v>0.30546305316762901</v>
      </c>
      <c r="G108">
        <v>0.37224319536243139</v>
      </c>
      <c r="H108" t="s">
        <v>297</v>
      </c>
      <c r="I108" t="s">
        <v>298</v>
      </c>
    </row>
    <row r="109" spans="1:9" x14ac:dyDescent="0.2">
      <c r="A109">
        <v>152</v>
      </c>
      <c r="B109" t="s">
        <v>282</v>
      </c>
      <c r="C109">
        <v>16.350383333333333</v>
      </c>
      <c r="D109">
        <v>53.275783333332981</v>
      </c>
      <c r="E109">
        <v>1851.3935333527525</v>
      </c>
      <c r="F109">
        <v>3.3806384395616458E-2</v>
      </c>
      <c r="G109">
        <v>4.0799971863112086E-2</v>
      </c>
      <c r="H109" t="s">
        <v>23</v>
      </c>
      <c r="I109" t="s">
        <v>283</v>
      </c>
    </row>
    <row r="110" spans="1:9" x14ac:dyDescent="0.2">
      <c r="A110">
        <v>153</v>
      </c>
      <c r="B110" t="s">
        <v>282</v>
      </c>
      <c r="C110">
        <v>16.430500000000002</v>
      </c>
      <c r="D110">
        <v>80.011381157593632</v>
      </c>
      <c r="E110">
        <v>4197.8826501965077</v>
      </c>
      <c r="F110">
        <v>5.0771576468692216E-2</v>
      </c>
      <c r="G110">
        <v>9.2510582394926488E-2</v>
      </c>
      <c r="H110" t="s">
        <v>23</v>
      </c>
      <c r="I110" t="s">
        <v>283</v>
      </c>
    </row>
    <row r="111" spans="1:9" x14ac:dyDescent="0.2">
      <c r="A111">
        <v>157</v>
      </c>
      <c r="B111" t="s">
        <v>299</v>
      </c>
      <c r="C111">
        <v>16.659366666666667</v>
      </c>
      <c r="D111">
        <v>1604.3197412783456</v>
      </c>
      <c r="E111">
        <v>44617.446939921392</v>
      </c>
      <c r="F111">
        <v>1.018028201064437</v>
      </c>
      <c r="G111">
        <v>0.98325426061961063</v>
      </c>
      <c r="H111" t="s">
        <v>300</v>
      </c>
      <c r="I111" t="s">
        <v>301</v>
      </c>
    </row>
    <row r="112" spans="1:9" x14ac:dyDescent="0.2">
      <c r="A112">
        <v>158</v>
      </c>
      <c r="B112" t="s">
        <v>302</v>
      </c>
      <c r="C112">
        <v>16.710866666666668</v>
      </c>
      <c r="D112">
        <v>357.48369280483234</v>
      </c>
      <c r="E112">
        <v>9129.8352049410369</v>
      </c>
      <c r="F112">
        <v>0.22684286138995691</v>
      </c>
      <c r="G112">
        <v>0.20119818545648516</v>
      </c>
      <c r="H112" t="s">
        <v>23</v>
      </c>
      <c r="I112" t="s">
        <v>303</v>
      </c>
    </row>
    <row r="113" spans="1:9" x14ac:dyDescent="0.2">
      <c r="A113">
        <v>159</v>
      </c>
      <c r="B113" t="s">
        <v>282</v>
      </c>
      <c r="C113">
        <v>16.745200000000001</v>
      </c>
      <c r="D113">
        <v>66.510966666668764</v>
      </c>
      <c r="E113">
        <v>2886.5637290604081</v>
      </c>
      <c r="F113">
        <v>4.2204828628969668E-2</v>
      </c>
      <c r="G113">
        <v>6.3612471797645134E-2</v>
      </c>
      <c r="H113" t="s">
        <v>23</v>
      </c>
      <c r="I113" t="s">
        <v>283</v>
      </c>
    </row>
    <row r="114" spans="1:9" x14ac:dyDescent="0.2">
      <c r="A114">
        <v>160</v>
      </c>
      <c r="B114" t="s">
        <v>304</v>
      </c>
      <c r="C114">
        <v>16.796700000000001</v>
      </c>
      <c r="D114">
        <v>55.388268430652431</v>
      </c>
      <c r="E114">
        <v>2069.4823133071222</v>
      </c>
      <c r="F114">
        <v>3.5146871175194411E-2</v>
      </c>
      <c r="G114">
        <v>4.5606090025189165E-2</v>
      </c>
      <c r="H114" t="s">
        <v>23</v>
      </c>
      <c r="I114" t="s">
        <v>305</v>
      </c>
    </row>
    <row r="115" spans="1:9" x14ac:dyDescent="0.2">
      <c r="A115">
        <v>161</v>
      </c>
      <c r="B115" t="s">
        <v>306</v>
      </c>
      <c r="C115">
        <v>16.842483333333334</v>
      </c>
      <c r="D115">
        <v>559.10405875796584</v>
      </c>
      <c r="E115">
        <v>22721.117770915211</v>
      </c>
      <c r="F115">
        <v>0.35478195804762913</v>
      </c>
      <c r="G115">
        <v>0.50071524451801563</v>
      </c>
      <c r="H115" t="s">
        <v>307</v>
      </c>
      <c r="I115" t="s">
        <v>308</v>
      </c>
    </row>
    <row r="116" spans="1:9" x14ac:dyDescent="0.2">
      <c r="A116">
        <v>162</v>
      </c>
      <c r="B116" t="s">
        <v>304</v>
      </c>
      <c r="C116">
        <v>16.882533333333335</v>
      </c>
      <c r="D116">
        <v>38.663941666666403</v>
      </c>
      <c r="E116">
        <v>1970.2800970873777</v>
      </c>
      <c r="F116">
        <v>2.4534375516449932E-2</v>
      </c>
      <c r="G116">
        <v>4.3419927246930848E-2</v>
      </c>
      <c r="H116" t="s">
        <v>23</v>
      </c>
      <c r="I116" t="s">
        <v>305</v>
      </c>
    </row>
    <row r="117" spans="1:9" x14ac:dyDescent="0.2">
      <c r="A117">
        <v>163</v>
      </c>
      <c r="B117" t="s">
        <v>302</v>
      </c>
      <c r="C117">
        <v>16.93975</v>
      </c>
      <c r="D117">
        <v>240.12063156434715</v>
      </c>
      <c r="E117">
        <v>11266.117324944647</v>
      </c>
      <c r="F117">
        <v>0.15236961080783545</v>
      </c>
      <c r="G117">
        <v>0.24827637213999124</v>
      </c>
      <c r="H117" t="s">
        <v>23</v>
      </c>
      <c r="I117" t="s">
        <v>303</v>
      </c>
    </row>
    <row r="118" spans="1:9" x14ac:dyDescent="0.2">
      <c r="A118">
        <v>164</v>
      </c>
      <c r="B118" t="s">
        <v>302</v>
      </c>
      <c r="C118">
        <v>17.019850000000002</v>
      </c>
      <c r="D118">
        <v>295.35162676900745</v>
      </c>
      <c r="E118">
        <v>8638.7765350110531</v>
      </c>
      <c r="F118">
        <v>0.18741668356055033</v>
      </c>
      <c r="G118">
        <v>0.19037651002371092</v>
      </c>
      <c r="H118" t="s">
        <v>23</v>
      </c>
      <c r="I118" t="s">
        <v>303</v>
      </c>
    </row>
    <row r="119" spans="1:9" x14ac:dyDescent="0.2">
      <c r="A119">
        <v>168</v>
      </c>
      <c r="B119" t="s">
        <v>304</v>
      </c>
      <c r="C119">
        <v>17.208683333333333</v>
      </c>
      <c r="D119">
        <v>116.54597287084096</v>
      </c>
      <c r="E119">
        <v>5470.8523651702326</v>
      </c>
      <c r="F119">
        <v>7.3954763536392784E-2</v>
      </c>
      <c r="G119">
        <v>0.12056357470470683</v>
      </c>
      <c r="H119" t="s">
        <v>23</v>
      </c>
      <c r="I119" t="s">
        <v>305</v>
      </c>
    </row>
    <row r="120" spans="1:9" x14ac:dyDescent="0.2">
      <c r="A120">
        <v>169</v>
      </c>
      <c r="B120" t="s">
        <v>282</v>
      </c>
      <c r="C120">
        <v>17.254450000000002</v>
      </c>
      <c r="D120">
        <v>139.3025650873783</v>
      </c>
      <c r="E120">
        <v>5228.0603595460434</v>
      </c>
      <c r="F120">
        <v>8.839505996888497E-2</v>
      </c>
      <c r="G120">
        <v>0.11521306071640497</v>
      </c>
      <c r="H120" t="s">
        <v>23</v>
      </c>
      <c r="I120" t="s">
        <v>283</v>
      </c>
    </row>
    <row r="121" spans="1:9" x14ac:dyDescent="0.2">
      <c r="A121">
        <v>170</v>
      </c>
      <c r="B121" t="s">
        <v>304</v>
      </c>
      <c r="C121">
        <v>17.277350000000002</v>
      </c>
      <c r="D121">
        <v>58.080357694755435</v>
      </c>
      <c r="E121">
        <v>3044.6174550567412</v>
      </c>
      <c r="F121">
        <v>3.6855148347209946E-2</v>
      </c>
      <c r="G121">
        <v>6.7095571126523326E-2</v>
      </c>
      <c r="H121" t="s">
        <v>23</v>
      </c>
      <c r="I121" t="s">
        <v>305</v>
      </c>
    </row>
    <row r="122" spans="1:9" x14ac:dyDescent="0.2">
      <c r="A122">
        <v>171</v>
      </c>
      <c r="B122" t="s">
        <v>304</v>
      </c>
      <c r="C122">
        <v>17.397500000000001</v>
      </c>
      <c r="D122">
        <v>85.690841666664141</v>
      </c>
      <c r="E122">
        <v>3986.6712442778335</v>
      </c>
      <c r="F122">
        <v>5.4375503302166513E-2</v>
      </c>
      <c r="G122">
        <v>8.7856023942923772E-2</v>
      </c>
      <c r="H122" t="s">
        <v>23</v>
      </c>
      <c r="I122" t="s">
        <v>305</v>
      </c>
    </row>
    <row r="123" spans="1:9" x14ac:dyDescent="0.2">
      <c r="A123">
        <v>172</v>
      </c>
      <c r="B123" t="s">
        <v>309</v>
      </c>
      <c r="C123">
        <v>17.443283333333333</v>
      </c>
      <c r="D123">
        <v>1848.0776666667248</v>
      </c>
      <c r="E123">
        <v>50042.000000000015</v>
      </c>
      <c r="F123">
        <v>1.1727058727862842</v>
      </c>
      <c r="G123">
        <v>1.1027975172174489</v>
      </c>
      <c r="H123" t="s">
        <v>23</v>
      </c>
      <c r="I123" t="s">
        <v>310</v>
      </c>
    </row>
    <row r="124" spans="1:9" x14ac:dyDescent="0.2">
      <c r="A124">
        <v>173</v>
      </c>
      <c r="B124" t="s">
        <v>304</v>
      </c>
      <c r="C124">
        <v>17.523383333333335</v>
      </c>
      <c r="D124">
        <v>237.4259999999997</v>
      </c>
      <c r="E124">
        <v>5278.5242718446461</v>
      </c>
      <c r="F124">
        <v>0.1506597204079341</v>
      </c>
      <c r="G124">
        <v>0.11632515610012223</v>
      </c>
      <c r="H124" t="s">
        <v>23</v>
      </c>
      <c r="I124" t="s">
        <v>305</v>
      </c>
    </row>
    <row r="125" spans="1:9" x14ac:dyDescent="0.2">
      <c r="A125">
        <v>174</v>
      </c>
      <c r="B125" t="s">
        <v>304</v>
      </c>
      <c r="C125">
        <v>17.61495</v>
      </c>
      <c r="D125">
        <v>18.796792626409456</v>
      </c>
      <c r="E125">
        <v>1936.4971991933744</v>
      </c>
      <c r="F125">
        <v>1.1927588055481579E-2</v>
      </c>
      <c r="G125">
        <v>4.2675438698872865E-2</v>
      </c>
      <c r="H125" t="s">
        <v>23</v>
      </c>
      <c r="I125" t="s">
        <v>305</v>
      </c>
    </row>
    <row r="126" spans="1:9" x14ac:dyDescent="0.2">
      <c r="A126">
        <v>175</v>
      </c>
      <c r="B126" t="s">
        <v>304</v>
      </c>
      <c r="C126">
        <v>17.649266666666666</v>
      </c>
      <c r="D126">
        <v>71.983399040258291</v>
      </c>
      <c r="E126">
        <v>2839.7784001792606</v>
      </c>
      <c r="F126">
        <v>4.5677384841668896E-2</v>
      </c>
      <c r="G126">
        <v>6.2581442971212708E-2</v>
      </c>
      <c r="H126" t="s">
        <v>23</v>
      </c>
      <c r="I126" t="s">
        <v>305</v>
      </c>
    </row>
    <row r="127" spans="1:9" x14ac:dyDescent="0.2">
      <c r="A127">
        <v>176</v>
      </c>
      <c r="B127" t="s">
        <v>304</v>
      </c>
      <c r="C127">
        <v>17.706500000000002</v>
      </c>
      <c r="D127">
        <v>47.440371609155477</v>
      </c>
      <c r="E127">
        <v>3377.6775711404734</v>
      </c>
      <c r="F127">
        <v>3.0103498027528024E-2</v>
      </c>
      <c r="G127">
        <v>7.4435363083305547E-2</v>
      </c>
      <c r="H127" t="s">
        <v>23</v>
      </c>
      <c r="I127" t="s">
        <v>305</v>
      </c>
    </row>
    <row r="128" spans="1:9" x14ac:dyDescent="0.2">
      <c r="A128">
        <v>177</v>
      </c>
      <c r="B128" t="s">
        <v>304</v>
      </c>
      <c r="C128">
        <v>17.746549999999999</v>
      </c>
      <c r="D128">
        <v>71.048895057511118</v>
      </c>
      <c r="E128">
        <v>3468.3224288595266</v>
      </c>
      <c r="F128">
        <v>4.5084391198340915E-2</v>
      </c>
      <c r="G128">
        <v>7.6432943596496467E-2</v>
      </c>
      <c r="H128" t="s">
        <v>23</v>
      </c>
      <c r="I128" t="s">
        <v>305</v>
      </c>
    </row>
    <row r="129" spans="1:9" x14ac:dyDescent="0.2">
      <c r="A129">
        <v>178</v>
      </c>
      <c r="B129" t="s">
        <v>304</v>
      </c>
      <c r="C129">
        <v>17.809483333333333</v>
      </c>
      <c r="D129">
        <v>147.61558610870975</v>
      </c>
      <c r="E129">
        <v>4350.0005394325381</v>
      </c>
      <c r="F129">
        <v>9.3670124295534438E-2</v>
      </c>
      <c r="G129">
        <v>9.5862871083904816E-2</v>
      </c>
      <c r="H129" t="s">
        <v>23</v>
      </c>
      <c r="I129" t="s">
        <v>305</v>
      </c>
    </row>
    <row r="130" spans="1:9" x14ac:dyDescent="0.2">
      <c r="A130">
        <v>179</v>
      </c>
      <c r="B130" t="s">
        <v>304</v>
      </c>
      <c r="C130">
        <v>17.866716666666669</v>
      </c>
      <c r="D130">
        <v>275.24623889129208</v>
      </c>
      <c r="E130">
        <v>10704.999029021386</v>
      </c>
      <c r="F130">
        <v>0.17465872058956286</v>
      </c>
      <c r="G130">
        <v>0.23591076198033617</v>
      </c>
      <c r="H130" t="s">
        <v>23</v>
      </c>
      <c r="I130" t="s">
        <v>305</v>
      </c>
    </row>
    <row r="131" spans="1:9" x14ac:dyDescent="0.2">
      <c r="A131">
        <v>180</v>
      </c>
      <c r="B131" t="s">
        <v>304</v>
      </c>
      <c r="C131">
        <v>17.906766666666666</v>
      </c>
      <c r="D131">
        <v>12.257225000000005</v>
      </c>
      <c r="E131">
        <v>1096.6941747572782</v>
      </c>
      <c r="F131">
        <v>7.7778764392995841E-3</v>
      </c>
      <c r="G131">
        <v>2.4168330863457994E-2</v>
      </c>
      <c r="H131" t="s">
        <v>23</v>
      </c>
      <c r="I131" t="s">
        <v>305</v>
      </c>
    </row>
    <row r="132" spans="1:9" x14ac:dyDescent="0.2">
      <c r="A132">
        <v>181</v>
      </c>
      <c r="B132" t="s">
        <v>304</v>
      </c>
      <c r="C132">
        <v>17.952533333333335</v>
      </c>
      <c r="D132">
        <v>1060.4780250000492</v>
      </c>
      <c r="E132">
        <v>41084.893387707474</v>
      </c>
      <c r="F132">
        <v>0.67293103006943533</v>
      </c>
      <c r="G132">
        <v>0.90540582756699106</v>
      </c>
      <c r="H132" t="s">
        <v>23</v>
      </c>
      <c r="I132" t="s">
        <v>305</v>
      </c>
    </row>
    <row r="133" spans="1:9" x14ac:dyDescent="0.2">
      <c r="A133">
        <v>182</v>
      </c>
      <c r="B133" t="s">
        <v>304</v>
      </c>
      <c r="C133">
        <v>18.0212</v>
      </c>
      <c r="D133">
        <v>69.336091666672246</v>
      </c>
      <c r="E133">
        <v>3572.9198834668859</v>
      </c>
      <c r="F133">
        <v>4.3997524216723288E-2</v>
      </c>
      <c r="G133">
        <v>7.8738003611049462E-2</v>
      </c>
      <c r="H133" t="s">
        <v>23</v>
      </c>
      <c r="I133" t="s">
        <v>305</v>
      </c>
    </row>
    <row r="134" spans="1:9" x14ac:dyDescent="0.2">
      <c r="A134">
        <v>183</v>
      </c>
      <c r="B134" t="s">
        <v>309</v>
      </c>
      <c r="C134">
        <v>18.066983333333333</v>
      </c>
      <c r="D134">
        <v>700.24839999998471</v>
      </c>
      <c r="E134">
        <v>29758.319307331301</v>
      </c>
      <c r="F134">
        <v>0.44434572523692023</v>
      </c>
      <c r="G134">
        <v>0.65579714337334682</v>
      </c>
      <c r="H134" t="s">
        <v>23</v>
      </c>
      <c r="I134" t="s">
        <v>310</v>
      </c>
    </row>
    <row r="135" spans="1:9" x14ac:dyDescent="0.2">
      <c r="A135">
        <v>184</v>
      </c>
      <c r="B135" t="s">
        <v>304</v>
      </c>
      <c r="C135">
        <v>18.129916666666666</v>
      </c>
      <c r="D135">
        <v>35.895183333332625</v>
      </c>
      <c r="E135">
        <v>2504.1072261072113</v>
      </c>
      <c r="F135">
        <v>2.2777447646809685E-2</v>
      </c>
      <c r="G135">
        <v>5.5184109983559902E-2</v>
      </c>
      <c r="H135" t="s">
        <v>23</v>
      </c>
      <c r="I135" t="s">
        <v>305</v>
      </c>
    </row>
    <row r="136" spans="1:9" x14ac:dyDescent="0.2">
      <c r="A136">
        <v>185</v>
      </c>
      <c r="B136" t="s">
        <v>304</v>
      </c>
      <c r="C136">
        <v>18.2043</v>
      </c>
      <c r="D136">
        <v>242.17971708849154</v>
      </c>
      <c r="E136">
        <v>7956.1568133511901</v>
      </c>
      <c r="F136">
        <v>0.15367621265162518</v>
      </c>
      <c r="G136">
        <v>0.17533331961864793</v>
      </c>
      <c r="H136" t="s">
        <v>23</v>
      </c>
      <c r="I136" t="s">
        <v>305</v>
      </c>
    </row>
    <row r="137" spans="1:9" x14ac:dyDescent="0.2">
      <c r="A137">
        <v>186</v>
      </c>
      <c r="B137" t="s">
        <v>304</v>
      </c>
      <c r="C137">
        <v>18.2272</v>
      </c>
      <c r="D137">
        <v>149.35358256906818</v>
      </c>
      <c r="E137">
        <v>6499.3704636700058</v>
      </c>
      <c r="F137">
        <v>9.4772977651053969E-2</v>
      </c>
      <c r="G137">
        <v>0.14322947945349304</v>
      </c>
      <c r="H137" t="s">
        <v>23</v>
      </c>
      <c r="I137" t="s">
        <v>305</v>
      </c>
    </row>
    <row r="138" spans="1:9" x14ac:dyDescent="0.2">
      <c r="A138">
        <v>187</v>
      </c>
      <c r="B138" t="s">
        <v>304</v>
      </c>
      <c r="C138">
        <v>18.255800000000001</v>
      </c>
      <c r="D138">
        <v>214.28771503123585</v>
      </c>
      <c r="E138">
        <v>6241.1045422341049</v>
      </c>
      <c r="F138">
        <v>0.13597721914811811</v>
      </c>
      <c r="G138">
        <v>0.13753795999101376</v>
      </c>
      <c r="H138" t="s">
        <v>23</v>
      </c>
      <c r="I138" t="s">
        <v>305</v>
      </c>
    </row>
    <row r="139" spans="1:9" x14ac:dyDescent="0.2">
      <c r="A139">
        <v>188</v>
      </c>
      <c r="B139" t="s">
        <v>311</v>
      </c>
      <c r="C139">
        <v>18.307300000000001</v>
      </c>
      <c r="D139">
        <v>187.41047320841699</v>
      </c>
      <c r="E139">
        <v>6615.0522711170197</v>
      </c>
      <c r="F139">
        <v>0.11892214624808893</v>
      </c>
      <c r="G139">
        <v>0.14577881021644806</v>
      </c>
      <c r="H139" t="s">
        <v>312</v>
      </c>
      <c r="I139" t="s">
        <v>313</v>
      </c>
    </row>
    <row r="140" spans="1:9" x14ac:dyDescent="0.2">
      <c r="A140">
        <v>189</v>
      </c>
      <c r="B140" t="s">
        <v>304</v>
      </c>
      <c r="C140">
        <v>18.335916666666666</v>
      </c>
      <c r="D140">
        <v>176.99134543611694</v>
      </c>
      <c r="E140">
        <v>7545.4750059041107</v>
      </c>
      <c r="F140">
        <v>0.11231064254980286</v>
      </c>
      <c r="G140">
        <v>0.16628294438146687</v>
      </c>
      <c r="H140" t="s">
        <v>23</v>
      </c>
      <c r="I140" t="s">
        <v>305</v>
      </c>
    </row>
    <row r="141" spans="1:9" x14ac:dyDescent="0.2">
      <c r="A141">
        <v>190</v>
      </c>
      <c r="B141" t="s">
        <v>311</v>
      </c>
      <c r="C141">
        <v>18.370249999999999</v>
      </c>
      <c r="D141">
        <v>116.85431666666977</v>
      </c>
      <c r="E141">
        <v>4454.7774945375422</v>
      </c>
      <c r="F141">
        <v>7.4150424458402545E-2</v>
      </c>
      <c r="G141">
        <v>9.8171886829706401E-2</v>
      </c>
      <c r="H141" t="s">
        <v>312</v>
      </c>
      <c r="I141" t="s">
        <v>313</v>
      </c>
    </row>
    <row r="142" spans="1:9" x14ac:dyDescent="0.2">
      <c r="A142">
        <v>191</v>
      </c>
      <c r="B142" t="s">
        <v>304</v>
      </c>
      <c r="C142">
        <v>18.45035</v>
      </c>
      <c r="D142">
        <v>145.52837500000896</v>
      </c>
      <c r="E142">
        <v>5736.8052420822787</v>
      </c>
      <c r="F142">
        <v>9.2345675237431299E-2</v>
      </c>
      <c r="G142">
        <v>0.12642449497878544</v>
      </c>
      <c r="H142" t="s">
        <v>23</v>
      </c>
      <c r="I142" t="s">
        <v>305</v>
      </c>
    </row>
    <row r="143" spans="1:9" x14ac:dyDescent="0.2">
      <c r="A143">
        <v>192</v>
      </c>
      <c r="B143" t="s">
        <v>311</v>
      </c>
      <c r="C143">
        <v>18.478966666666668</v>
      </c>
      <c r="D143">
        <v>29.160874999999351</v>
      </c>
      <c r="E143">
        <v>1867.046579330432</v>
      </c>
      <c r="F143">
        <v>1.8504162452092958E-2</v>
      </c>
      <c r="G143">
        <v>4.114492490737641E-2</v>
      </c>
      <c r="H143" t="s">
        <v>312</v>
      </c>
      <c r="I143" t="s">
        <v>313</v>
      </c>
    </row>
    <row r="144" spans="1:9" x14ac:dyDescent="0.2">
      <c r="A144">
        <v>193</v>
      </c>
      <c r="B144" t="s">
        <v>304</v>
      </c>
      <c r="C144">
        <v>18.576233333333334</v>
      </c>
      <c r="D144">
        <v>450.69094442398091</v>
      </c>
      <c r="E144">
        <v>11688.458361891717</v>
      </c>
      <c r="F144">
        <v>0.28598793593500632</v>
      </c>
      <c r="G144">
        <v>0.25758368693484895</v>
      </c>
      <c r="H144" t="s">
        <v>23</v>
      </c>
      <c r="I144" t="s">
        <v>305</v>
      </c>
    </row>
    <row r="145" spans="1:9" x14ac:dyDescent="0.2">
      <c r="A145">
        <v>194</v>
      </c>
      <c r="B145" t="s">
        <v>304</v>
      </c>
      <c r="C145">
        <v>18.6449</v>
      </c>
      <c r="D145">
        <v>59.916138909352412</v>
      </c>
      <c r="E145">
        <v>4223.5693968471824</v>
      </c>
      <c r="F145">
        <v>3.8020051451845997E-2</v>
      </c>
      <c r="G145">
        <v>9.3076652504669469E-2</v>
      </c>
      <c r="H145" t="s">
        <v>23</v>
      </c>
      <c r="I145" t="s">
        <v>305</v>
      </c>
    </row>
    <row r="146" spans="1:9" x14ac:dyDescent="0.2">
      <c r="A146">
        <v>195</v>
      </c>
      <c r="B146" t="s">
        <v>311</v>
      </c>
      <c r="C146">
        <v>18.684950000000001</v>
      </c>
      <c r="D146">
        <v>117.32385371141754</v>
      </c>
      <c r="E146">
        <v>5627.6801807157462</v>
      </c>
      <c r="F146">
        <v>7.4448371270810901E-2</v>
      </c>
      <c r="G146">
        <v>0.12401965810693351</v>
      </c>
      <c r="H146" t="s">
        <v>312</v>
      </c>
      <c r="I146" t="s">
        <v>313</v>
      </c>
    </row>
    <row r="147" spans="1:9" x14ac:dyDescent="0.2">
      <c r="A147">
        <v>196</v>
      </c>
      <c r="B147" t="s">
        <v>314</v>
      </c>
      <c r="C147">
        <v>18.730733333333333</v>
      </c>
      <c r="D147">
        <v>93.2020140054683</v>
      </c>
      <c r="E147">
        <v>4140.6470098680584</v>
      </c>
      <c r="F147">
        <v>5.9141750994079124E-2</v>
      </c>
      <c r="G147">
        <v>9.1249255468533366E-2</v>
      </c>
      <c r="H147" t="s">
        <v>315</v>
      </c>
      <c r="I147" t="s">
        <v>316</v>
      </c>
    </row>
    <row r="148" spans="1:9" x14ac:dyDescent="0.2">
      <c r="A148">
        <v>197</v>
      </c>
      <c r="B148" t="s">
        <v>311</v>
      </c>
      <c r="C148">
        <v>18.805116666666667</v>
      </c>
      <c r="D148">
        <v>611.23805109875502</v>
      </c>
      <c r="E148">
        <v>9879.3124479847975</v>
      </c>
      <c r="F148">
        <v>0.38786381390929842</v>
      </c>
      <c r="G148">
        <v>0.21771474440376221</v>
      </c>
      <c r="H148" t="s">
        <v>312</v>
      </c>
      <c r="I148" t="s">
        <v>313</v>
      </c>
    </row>
    <row r="149" spans="1:9" x14ac:dyDescent="0.2">
      <c r="A149">
        <v>198</v>
      </c>
      <c r="B149" t="s">
        <v>304</v>
      </c>
      <c r="C149">
        <v>18.89095</v>
      </c>
      <c r="D149">
        <v>427.69309785103269</v>
      </c>
      <c r="E149">
        <v>10049.621210319827</v>
      </c>
      <c r="F149">
        <v>0.27139455048158106</v>
      </c>
      <c r="G149">
        <v>0.22146791334711874</v>
      </c>
      <c r="H149" t="s">
        <v>23</v>
      </c>
      <c r="I149" t="s">
        <v>305</v>
      </c>
    </row>
    <row r="150" spans="1:9" x14ac:dyDescent="0.2">
      <c r="A150">
        <v>199</v>
      </c>
      <c r="B150" t="s">
        <v>314</v>
      </c>
      <c r="C150">
        <v>18.953883333333334</v>
      </c>
      <c r="D150">
        <v>13.95859887752431</v>
      </c>
      <c r="E150">
        <v>1935.6984228473666</v>
      </c>
      <c r="F150">
        <v>8.8574907725957469E-3</v>
      </c>
      <c r="G150">
        <v>4.2657835713956413E-2</v>
      </c>
      <c r="H150" t="s">
        <v>315</v>
      </c>
      <c r="I150" t="s">
        <v>316</v>
      </c>
    </row>
    <row r="151" spans="1:9" x14ac:dyDescent="0.2">
      <c r="A151">
        <v>200</v>
      </c>
      <c r="B151" t="s">
        <v>314</v>
      </c>
      <c r="C151">
        <v>18.982500000000002</v>
      </c>
      <c r="D151">
        <v>31.370531969308558</v>
      </c>
      <c r="E151">
        <v>2551.4774083545854</v>
      </c>
      <c r="F151">
        <v>1.9906310073640594E-2</v>
      </c>
      <c r="G151">
        <v>5.6228027480313469E-2</v>
      </c>
      <c r="H151" t="s">
        <v>315</v>
      </c>
      <c r="I151" t="s">
        <v>316</v>
      </c>
    </row>
    <row r="152" spans="1:9" x14ac:dyDescent="0.2">
      <c r="A152">
        <v>201</v>
      </c>
      <c r="B152" t="s">
        <v>304</v>
      </c>
      <c r="C152">
        <v>18.999666666666666</v>
      </c>
      <c r="D152">
        <v>14.142275000002428</v>
      </c>
      <c r="E152">
        <v>1891.029112081691</v>
      </c>
      <c r="F152">
        <v>8.974043270039863E-3</v>
      </c>
      <c r="G152">
        <v>4.1673438507445842E-2</v>
      </c>
      <c r="H152" t="s">
        <v>23</v>
      </c>
      <c r="I152" t="s">
        <v>305</v>
      </c>
    </row>
    <row r="153" spans="1:9" x14ac:dyDescent="0.2">
      <c r="A153">
        <v>202</v>
      </c>
      <c r="B153" t="s">
        <v>311</v>
      </c>
      <c r="C153">
        <v>19.07405</v>
      </c>
      <c r="D153">
        <v>1089.4787494245252</v>
      </c>
      <c r="E153">
        <v>28169.869352088645</v>
      </c>
      <c r="F153">
        <v>0.69133356826415326</v>
      </c>
      <c r="G153">
        <v>0.62079177454584655</v>
      </c>
      <c r="H153" t="s">
        <v>312</v>
      </c>
      <c r="I153" t="s">
        <v>313</v>
      </c>
    </row>
    <row r="154" spans="1:9" x14ac:dyDescent="0.2">
      <c r="A154">
        <v>203</v>
      </c>
      <c r="B154" t="s">
        <v>314</v>
      </c>
      <c r="C154">
        <v>19.114100000000001</v>
      </c>
      <c r="D154">
        <v>526.31173639529288</v>
      </c>
      <c r="E154">
        <v>10341.045183290677</v>
      </c>
      <c r="F154">
        <v>0.33397344457948686</v>
      </c>
      <c r="G154">
        <v>0.22789015134419913</v>
      </c>
      <c r="H154" t="s">
        <v>315</v>
      </c>
      <c r="I154" t="s">
        <v>316</v>
      </c>
    </row>
    <row r="155" spans="1:9" x14ac:dyDescent="0.2">
      <c r="A155">
        <v>204</v>
      </c>
      <c r="B155" t="s">
        <v>311</v>
      </c>
      <c r="C155">
        <v>19.165600000000001</v>
      </c>
      <c r="D155">
        <v>14.340416666666442</v>
      </c>
      <c r="E155">
        <v>2671.7553398056989</v>
      </c>
      <c r="F155">
        <v>9.0997749426484347E-3</v>
      </c>
      <c r="G155">
        <v>5.8878645045165774E-2</v>
      </c>
      <c r="H155" t="s">
        <v>312</v>
      </c>
      <c r="I155" t="s">
        <v>313</v>
      </c>
    </row>
    <row r="156" spans="1:9" x14ac:dyDescent="0.2">
      <c r="A156">
        <v>205</v>
      </c>
      <c r="B156" t="s">
        <v>314</v>
      </c>
      <c r="C156">
        <v>19.199933333333334</v>
      </c>
      <c r="D156">
        <v>112.57515851254516</v>
      </c>
      <c r="E156">
        <v>3188.639784946281</v>
      </c>
      <c r="F156">
        <v>7.1435065689431393E-2</v>
      </c>
      <c r="G156">
        <v>7.0269454421077043E-2</v>
      </c>
      <c r="H156" t="s">
        <v>315</v>
      </c>
      <c r="I156" t="s">
        <v>316</v>
      </c>
    </row>
    <row r="157" spans="1:9" x14ac:dyDescent="0.2">
      <c r="A157">
        <v>206</v>
      </c>
      <c r="B157" t="s">
        <v>311</v>
      </c>
      <c r="C157">
        <v>19.251433333333335</v>
      </c>
      <c r="D157">
        <v>148.83890815411587</v>
      </c>
      <c r="E157">
        <v>4889.9099462365048</v>
      </c>
      <c r="F157">
        <v>9.4446388720364691E-2</v>
      </c>
      <c r="G157">
        <v>0.10776109164554823</v>
      </c>
      <c r="H157" t="s">
        <v>312</v>
      </c>
      <c r="I157" t="s">
        <v>313</v>
      </c>
    </row>
    <row r="158" spans="1:9" x14ac:dyDescent="0.2">
      <c r="A158">
        <v>207</v>
      </c>
      <c r="B158" t="s">
        <v>304</v>
      </c>
      <c r="C158">
        <v>19.291483333333332</v>
      </c>
      <c r="D158">
        <v>44.672766666667258</v>
      </c>
      <c r="E158">
        <v>2573.8286713285779</v>
      </c>
      <c r="F158">
        <v>2.8347302047159854E-2</v>
      </c>
      <c r="G158">
        <v>5.6720592072344034E-2</v>
      </c>
      <c r="H158" t="s">
        <v>23</v>
      </c>
      <c r="I158" t="s">
        <v>305</v>
      </c>
    </row>
    <row r="159" spans="1:9" x14ac:dyDescent="0.2">
      <c r="A159">
        <v>208</v>
      </c>
      <c r="B159" t="s">
        <v>311</v>
      </c>
      <c r="C159">
        <v>19.331533333333333</v>
      </c>
      <c r="D159">
        <v>31.938174999999546</v>
      </c>
      <c r="E159">
        <v>1944.1100757134773</v>
      </c>
      <c r="F159">
        <v>2.0266510474167145E-2</v>
      </c>
      <c r="G159">
        <v>4.2843207000004969E-2</v>
      </c>
      <c r="H159" t="s">
        <v>312</v>
      </c>
      <c r="I159" t="s">
        <v>313</v>
      </c>
    </row>
    <row r="160" spans="1:9" x14ac:dyDescent="0.2">
      <c r="A160">
        <v>209</v>
      </c>
      <c r="B160" t="s">
        <v>314</v>
      </c>
      <c r="C160">
        <v>19.377316666666665</v>
      </c>
      <c r="D160">
        <v>179.50334802589214</v>
      </c>
      <c r="E160">
        <v>6340.894660194157</v>
      </c>
      <c r="F160">
        <v>0.113904644924604</v>
      </c>
      <c r="G160">
        <v>0.13973707861795079</v>
      </c>
      <c r="H160" t="s">
        <v>315</v>
      </c>
      <c r="I160" t="s">
        <v>316</v>
      </c>
    </row>
    <row r="161" spans="1:9" x14ac:dyDescent="0.2">
      <c r="A161">
        <v>210</v>
      </c>
      <c r="B161" t="s">
        <v>311</v>
      </c>
      <c r="C161">
        <v>19.400200000000002</v>
      </c>
      <c r="D161">
        <v>71.65476864077732</v>
      </c>
      <c r="E161">
        <v>4571.4473300971149</v>
      </c>
      <c r="F161">
        <v>4.5468850965415447E-2</v>
      </c>
      <c r="G161">
        <v>0.10074299120181912</v>
      </c>
      <c r="H161" t="s">
        <v>312</v>
      </c>
      <c r="I161" t="s">
        <v>313</v>
      </c>
    </row>
    <row r="162" spans="1:9" x14ac:dyDescent="0.2">
      <c r="A162">
        <v>211</v>
      </c>
      <c r="B162" t="s">
        <v>311</v>
      </c>
      <c r="C162">
        <v>19.457416666666667</v>
      </c>
      <c r="D162">
        <v>385.37055865928642</v>
      </c>
      <c r="E162">
        <v>8962.2857142857174</v>
      </c>
      <c r="F162">
        <v>0.24453859569321612</v>
      </c>
      <c r="G162">
        <v>0.19750582379416681</v>
      </c>
      <c r="H162" t="s">
        <v>312</v>
      </c>
      <c r="I162" t="s">
        <v>313</v>
      </c>
    </row>
    <row r="163" spans="1:9" x14ac:dyDescent="0.2">
      <c r="A163">
        <v>212</v>
      </c>
      <c r="B163" t="s">
        <v>304</v>
      </c>
      <c r="C163">
        <v>19.486033333333335</v>
      </c>
      <c r="D163">
        <v>267.10906634072626</v>
      </c>
      <c r="E163">
        <v>8009.8316227461837</v>
      </c>
      <c r="F163">
        <v>0.16949524168927663</v>
      </c>
      <c r="G163">
        <v>0.1765161749509272</v>
      </c>
      <c r="H163" t="s">
        <v>23</v>
      </c>
      <c r="I163" t="s">
        <v>305</v>
      </c>
    </row>
    <row r="164" spans="1:9" x14ac:dyDescent="0.2">
      <c r="A164">
        <v>213</v>
      </c>
      <c r="B164" t="s">
        <v>311</v>
      </c>
      <c r="C164">
        <v>19.589016666666666</v>
      </c>
      <c r="D164">
        <v>63.184216666665861</v>
      </c>
      <c r="E164">
        <v>4444.3826441467318</v>
      </c>
      <c r="F164">
        <v>4.0093824674611124E-2</v>
      </c>
      <c r="G164">
        <v>9.7942810949389211E-2</v>
      </c>
      <c r="H164" t="s">
        <v>312</v>
      </c>
      <c r="I164" t="s">
        <v>313</v>
      </c>
    </row>
    <row r="165" spans="1:9" x14ac:dyDescent="0.2">
      <c r="A165">
        <v>214</v>
      </c>
      <c r="B165" t="s">
        <v>311</v>
      </c>
      <c r="C165">
        <v>19.640516666666667</v>
      </c>
      <c r="D165">
        <v>76.643074999999044</v>
      </c>
      <c r="E165">
        <v>6625.6278392545501</v>
      </c>
      <c r="F165">
        <v>4.8634202870385695E-2</v>
      </c>
      <c r="G165">
        <v>0.14601186865306595</v>
      </c>
      <c r="H165" t="s">
        <v>312</v>
      </c>
      <c r="I165" t="s">
        <v>313</v>
      </c>
    </row>
    <row r="166" spans="1:9" x14ac:dyDescent="0.2">
      <c r="A166">
        <v>215</v>
      </c>
      <c r="B166" t="s">
        <v>311</v>
      </c>
      <c r="C166">
        <v>19.669133333333335</v>
      </c>
      <c r="D166">
        <v>74.661716666665143</v>
      </c>
      <c r="E166">
        <v>5263.880023296515</v>
      </c>
      <c r="F166">
        <v>4.7376923159957958E-2</v>
      </c>
      <c r="G166">
        <v>0.11600243436756967</v>
      </c>
      <c r="H166" t="s">
        <v>312</v>
      </c>
      <c r="I166" t="s">
        <v>313</v>
      </c>
    </row>
    <row r="167" spans="1:9" x14ac:dyDescent="0.2">
      <c r="A167">
        <v>216</v>
      </c>
      <c r="B167" t="s">
        <v>311</v>
      </c>
      <c r="C167">
        <v>19.789283333333334</v>
      </c>
      <c r="D167">
        <v>50.219874999999774</v>
      </c>
      <c r="E167">
        <v>3078.3162713275233</v>
      </c>
      <c r="F167">
        <v>3.1867244221026235E-2</v>
      </c>
      <c r="G167">
        <v>6.7838206730947329E-2</v>
      </c>
      <c r="H167" t="s">
        <v>312</v>
      </c>
      <c r="I167" t="s">
        <v>313</v>
      </c>
    </row>
    <row r="168" spans="1:9" x14ac:dyDescent="0.2">
      <c r="A168">
        <v>217</v>
      </c>
      <c r="B168" t="s">
        <v>311</v>
      </c>
      <c r="C168">
        <v>19.823616666666666</v>
      </c>
      <c r="D168">
        <v>37.527941666665356</v>
      </c>
      <c r="E168">
        <v>2658.4479242534726</v>
      </c>
      <c r="F168">
        <v>2.3813521682482415E-2</v>
      </c>
      <c r="G168">
        <v>5.85853836880742E-2</v>
      </c>
      <c r="H168" t="s">
        <v>312</v>
      </c>
      <c r="I168" t="s">
        <v>313</v>
      </c>
    </row>
    <row r="169" spans="1:9" x14ac:dyDescent="0.2">
      <c r="A169">
        <v>218</v>
      </c>
      <c r="B169" t="s">
        <v>311</v>
      </c>
      <c r="C169">
        <v>19.903733333333335</v>
      </c>
      <c r="D169">
        <v>554.80994166666824</v>
      </c>
      <c r="E169">
        <v>10939.051747772428</v>
      </c>
      <c r="F169">
        <v>0.35205710701878717</v>
      </c>
      <c r="G169">
        <v>0.24106868446817922</v>
      </c>
      <c r="H169" t="s">
        <v>312</v>
      </c>
      <c r="I169" t="s">
        <v>313</v>
      </c>
    </row>
    <row r="170" spans="1:9" x14ac:dyDescent="0.2">
      <c r="A170">
        <v>219</v>
      </c>
      <c r="B170" t="s">
        <v>311</v>
      </c>
      <c r="C170">
        <v>19.989566666666668</v>
      </c>
      <c r="D170">
        <v>157.84316666666018</v>
      </c>
      <c r="E170">
        <v>7521.6988934169494</v>
      </c>
      <c r="F170">
        <v>0.10016008086015009</v>
      </c>
      <c r="G170">
        <v>0.16575897975535436</v>
      </c>
      <c r="H170" t="s">
        <v>312</v>
      </c>
      <c r="I170" t="s">
        <v>313</v>
      </c>
    </row>
    <row r="171" spans="1:9" x14ac:dyDescent="0.2">
      <c r="A171" t="s">
        <v>317</v>
      </c>
      <c r="D171">
        <v>94214.175467918933</v>
      </c>
      <c r="E171">
        <v>2959789.4328113585</v>
      </c>
      <c r="F171">
        <v>59.784022535277231</v>
      </c>
      <c r="G17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47"/>
  <sheetViews>
    <sheetView showOutlineSymbols="0" zoomScaleNormal="100" zoomScaleSheetLayoutView="100" workbookViewId="0">
      <selection activeCell="B1" sqref="A1:H1"/>
    </sheetView>
  </sheetViews>
  <sheetFormatPr defaultColWidth="9.140625" defaultRowHeight="12.75" customHeight="1" x14ac:dyDescent="0.2"/>
  <cols>
    <col min="1" max="1" width="5.85546875" customWidth="1"/>
    <col min="2" max="2" width="26.85546875" customWidth="1"/>
    <col min="3" max="3" width="14" customWidth="1"/>
    <col min="4" max="4" width="13.85546875" customWidth="1"/>
    <col min="5" max="5" width="14.85546875" customWidth="1"/>
    <col min="6" max="6" width="12.7109375" customWidth="1"/>
    <col min="7" max="7" width="13.85546875" customWidth="1"/>
    <col min="8" max="8" width="13" customWidth="1"/>
    <col min="9" max="9" width="9.7109375" customWidth="1"/>
  </cols>
  <sheetData>
    <row r="1" spans="1:8" ht="21" x14ac:dyDescent="0.2">
      <c r="A1" s="237" t="s">
        <v>318</v>
      </c>
      <c r="B1" s="238"/>
      <c r="C1" s="238"/>
      <c r="D1" s="238"/>
      <c r="E1" s="238"/>
      <c r="F1" s="238"/>
      <c r="G1" s="238"/>
      <c r="H1" s="239"/>
    </row>
    <row r="2" spans="1:8" ht="12.75" customHeight="1" x14ac:dyDescent="0.2">
      <c r="A2" s="88"/>
      <c r="B2" s="89"/>
      <c r="C2" s="89"/>
      <c r="D2" s="89"/>
      <c r="E2" s="89"/>
      <c r="F2" s="89"/>
      <c r="G2" s="89"/>
      <c r="H2" s="90"/>
    </row>
    <row r="3" spans="1:8" s="3" customFormat="1" ht="15.75" x14ac:dyDescent="0.25">
      <c r="A3" s="91" t="s">
        <v>319</v>
      </c>
      <c r="B3" s="92"/>
      <c r="C3" s="93" t="s">
        <v>320</v>
      </c>
      <c r="D3" s="92"/>
      <c r="E3" s="92"/>
      <c r="F3" s="92"/>
      <c r="G3" s="92"/>
      <c r="H3" s="94"/>
    </row>
    <row r="4" spans="1:8" ht="12.75" customHeight="1" x14ac:dyDescent="0.2">
      <c r="A4" s="17" t="s">
        <v>321</v>
      </c>
      <c r="C4" s="2" t="s">
        <v>322</v>
      </c>
      <c r="F4" s="95" t="s">
        <v>323</v>
      </c>
      <c r="G4" s="1"/>
      <c r="H4" s="96">
        <v>5.0567749212705754E-3</v>
      </c>
    </row>
    <row r="5" spans="1:8" ht="12.75" customHeight="1" x14ac:dyDescent="0.2">
      <c r="A5" s="17" t="s">
        <v>324</v>
      </c>
      <c r="B5" s="97"/>
      <c r="C5" s="2" t="s">
        <v>61</v>
      </c>
      <c r="F5" s="95" t="s">
        <v>325</v>
      </c>
      <c r="G5" s="1"/>
      <c r="H5" s="96">
        <v>3.4307385855433109E-2</v>
      </c>
    </row>
    <row r="6" spans="1:8" ht="12.75" customHeight="1" x14ac:dyDescent="0.2">
      <c r="A6" s="17" t="s">
        <v>326</v>
      </c>
      <c r="C6" s="98">
        <v>6</v>
      </c>
      <c r="F6" s="95" t="s">
        <v>327</v>
      </c>
      <c r="G6" s="1"/>
      <c r="H6" s="96">
        <v>0</v>
      </c>
    </row>
    <row r="7" spans="1:8" ht="12.75" customHeight="1" x14ac:dyDescent="0.2">
      <c r="A7" s="17" t="s">
        <v>328</v>
      </c>
      <c r="B7" s="99"/>
      <c r="C7" s="100">
        <v>0</v>
      </c>
      <c r="D7" s="99"/>
      <c r="E7" s="99"/>
      <c r="F7" s="101" t="s">
        <v>329</v>
      </c>
      <c r="G7" s="102"/>
      <c r="H7" s="103">
        <v>0.99999372477846582</v>
      </c>
    </row>
    <row r="8" spans="1:8" s="4" customFormat="1" ht="12.75" customHeight="1" x14ac:dyDescent="0.2">
      <c r="A8" s="12"/>
      <c r="B8" s="18"/>
      <c r="C8" s="19"/>
      <c r="D8" s="2"/>
      <c r="E8" s="2"/>
      <c r="F8" s="18"/>
      <c r="G8" s="18"/>
      <c r="H8" s="46"/>
    </row>
    <row r="9" spans="1:8" ht="15.75" x14ac:dyDescent="0.25">
      <c r="A9" s="104" t="s">
        <v>330</v>
      </c>
      <c r="B9" s="105"/>
      <c r="C9" s="106" t="s">
        <v>320</v>
      </c>
      <c r="D9" s="105"/>
      <c r="E9" s="105"/>
      <c r="F9" s="105"/>
      <c r="G9" s="105"/>
      <c r="H9" s="107"/>
    </row>
    <row r="10" spans="1:8" ht="12.6" customHeight="1" x14ac:dyDescent="0.2"/>
    <row r="13" spans="1:8" ht="12.6" customHeight="1" x14ac:dyDescent="0.2"/>
    <row r="14" spans="1:8" ht="12.6" customHeight="1" x14ac:dyDescent="0.2"/>
    <row r="15" spans="1:8" ht="12.6" customHeight="1" x14ac:dyDescent="0.2"/>
    <row r="16" spans="1:8" ht="12.6" customHeight="1" x14ac:dyDescent="0.2"/>
    <row r="17" ht="12.6" customHeight="1" x14ac:dyDescent="0.2"/>
    <row r="18" ht="13.15" customHeight="1" x14ac:dyDescent="0.2"/>
    <row r="19" ht="13.15" customHeight="1" x14ac:dyDescent="0.2"/>
    <row r="36" spans="1:13" ht="15.75" x14ac:dyDescent="0.25">
      <c r="A36" s="91" t="s">
        <v>331</v>
      </c>
      <c r="B36" s="92"/>
      <c r="C36" s="106" t="s">
        <v>320</v>
      </c>
      <c r="D36" s="92"/>
      <c r="E36" s="92"/>
      <c r="F36" s="92"/>
      <c r="G36" s="92"/>
      <c r="H36" s="94"/>
    </row>
    <row r="37" spans="1:13" ht="12.75" customHeight="1" x14ac:dyDescent="0.2">
      <c r="A37" s="55" t="s">
        <v>332</v>
      </c>
      <c r="B37" s="56" t="s">
        <v>17</v>
      </c>
      <c r="C37" s="57" t="s">
        <v>20</v>
      </c>
      <c r="D37" s="57" t="s">
        <v>333</v>
      </c>
      <c r="E37" s="57" t="s">
        <v>334</v>
      </c>
      <c r="F37" s="57" t="s">
        <v>335</v>
      </c>
      <c r="G37" s="57" t="s">
        <v>336</v>
      </c>
      <c r="H37" s="57" t="s">
        <v>337</v>
      </c>
      <c r="I37" s="58"/>
    </row>
    <row r="38" spans="1:13" ht="12.75" customHeight="1" x14ac:dyDescent="0.2">
      <c r="A38" s="59" t="s">
        <v>23</v>
      </c>
      <c r="B38" s="60" t="s">
        <v>23</v>
      </c>
      <c r="C38" s="61" t="s">
        <v>23</v>
      </c>
      <c r="D38" s="61" t="s">
        <v>338</v>
      </c>
      <c r="E38" s="61" t="s">
        <v>339</v>
      </c>
      <c r="F38" s="61" t="s">
        <v>70</v>
      </c>
      <c r="G38" s="61" t="s">
        <v>339</v>
      </c>
      <c r="H38" s="61" t="s">
        <v>340</v>
      </c>
      <c r="I38" s="58"/>
    </row>
    <row r="39" spans="1:13" ht="12.75" customHeight="1" x14ac:dyDescent="0.2">
      <c r="A39" s="59" t="s">
        <v>23</v>
      </c>
      <c r="B39" s="60" t="s">
        <v>23</v>
      </c>
      <c r="C39" s="61" t="s">
        <v>23</v>
      </c>
      <c r="D39" s="61" t="s">
        <v>341</v>
      </c>
      <c r="E39" s="61" t="s">
        <v>341</v>
      </c>
      <c r="F39" s="61" t="s">
        <v>341</v>
      </c>
      <c r="G39" s="61" t="s">
        <v>341</v>
      </c>
      <c r="H39" s="61" t="s">
        <v>341</v>
      </c>
      <c r="I39" s="58"/>
    </row>
    <row r="40" spans="1:13" ht="12.75" hidden="1" customHeight="1" x14ac:dyDescent="0.2">
      <c r="A40" s="62" t="s">
        <v>23</v>
      </c>
      <c r="B40" s="63" t="s">
        <v>23</v>
      </c>
      <c r="C40" s="64" t="s">
        <v>23</v>
      </c>
      <c r="D40" s="64" t="s">
        <v>320</v>
      </c>
      <c r="E40" s="64" t="s">
        <v>320</v>
      </c>
      <c r="F40" s="64" t="s">
        <v>320</v>
      </c>
      <c r="G40" s="64" t="s">
        <v>320</v>
      </c>
      <c r="H40" s="64" t="s">
        <v>320</v>
      </c>
      <c r="I40" s="58"/>
    </row>
    <row r="41" spans="1:13" ht="12.75" customHeight="1" x14ac:dyDescent="0.2">
      <c r="A41" s="108">
        <v>1</v>
      </c>
      <c r="B41" s="109" t="s">
        <v>24</v>
      </c>
      <c r="C41" s="110" t="s">
        <v>27</v>
      </c>
      <c r="D41" s="111">
        <v>20</v>
      </c>
      <c r="E41" s="111">
        <v>0.69371972846273344</v>
      </c>
      <c r="F41" s="112">
        <v>1.257618216400358E-2</v>
      </c>
      <c r="G41" s="112">
        <v>0.69371972846273344</v>
      </c>
      <c r="H41" s="112">
        <v>39.010697729988514</v>
      </c>
      <c r="I41" s="58"/>
      <c r="L41" s="243"/>
      <c r="M41" s="243"/>
    </row>
    <row r="42" spans="1:13" ht="12.75" customHeight="1" x14ac:dyDescent="0.2">
      <c r="A42" s="114">
        <v>2</v>
      </c>
      <c r="B42" s="115" t="s">
        <v>29</v>
      </c>
      <c r="C42" s="116" t="s">
        <v>27</v>
      </c>
      <c r="D42" s="117">
        <v>40</v>
      </c>
      <c r="E42" s="117">
        <v>1.3698938740860227</v>
      </c>
      <c r="F42" s="118">
        <v>-1.8645837631430795E-2</v>
      </c>
      <c r="G42" s="118">
        <v>1.3698938740860227</v>
      </c>
      <c r="H42" s="118">
        <v>73.714902489066759</v>
      </c>
      <c r="I42" s="58"/>
    </row>
    <row r="43" spans="1:13" ht="12.75" customHeight="1" x14ac:dyDescent="0.2">
      <c r="A43" s="114">
        <v>3</v>
      </c>
      <c r="B43" s="115" t="s">
        <v>30</v>
      </c>
      <c r="C43" s="116" t="s">
        <v>27</v>
      </c>
      <c r="D43" s="117">
        <v>80</v>
      </c>
      <c r="E43" s="117">
        <v>2.7485716066184356</v>
      </c>
      <c r="F43" s="118">
        <v>-1.3450459218544708E-3</v>
      </c>
      <c r="G43" s="118">
        <v>2.7485716066184356</v>
      </c>
      <c r="H43" s="118">
        <v>137.54195520314667</v>
      </c>
      <c r="I43" s="58"/>
      <c r="L43" s="243"/>
      <c r="M43" s="243"/>
    </row>
    <row r="44" spans="1:13" ht="12.75" customHeight="1" x14ac:dyDescent="0.2">
      <c r="A44" s="114">
        <v>4</v>
      </c>
      <c r="B44" s="115" t="s">
        <v>31</v>
      </c>
      <c r="C44" s="116" t="s">
        <v>27</v>
      </c>
      <c r="D44" s="117">
        <v>120</v>
      </c>
      <c r="E44" s="117">
        <v>4.1266369493860928</v>
      </c>
      <c r="F44" s="118">
        <v>3.9115598440409016E-3</v>
      </c>
      <c r="G44" s="118">
        <v>4.1266369493860928</v>
      </c>
      <c r="H44" s="118">
        <v>194.96952132703973</v>
      </c>
      <c r="I44" s="58"/>
    </row>
    <row r="45" spans="1:13" ht="12.75" customHeight="1" x14ac:dyDescent="0.2">
      <c r="A45" s="114">
        <v>5</v>
      </c>
      <c r="B45" s="115" t="s">
        <v>32</v>
      </c>
      <c r="C45" s="116" t="s">
        <v>27</v>
      </c>
      <c r="D45" s="117">
        <v>160</v>
      </c>
      <c r="E45" s="117">
        <v>5.50659365464002</v>
      </c>
      <c r="F45" s="118">
        <v>7.721964280907323E-3</v>
      </c>
      <c r="G45" s="118">
        <v>5.50659365464002</v>
      </c>
      <c r="H45" s="118">
        <v>244.80883722135221</v>
      </c>
      <c r="I45" s="58"/>
      <c r="L45" s="243"/>
      <c r="M45" s="243"/>
    </row>
    <row r="46" spans="1:13" ht="12.75" customHeight="1" x14ac:dyDescent="0.2">
      <c r="A46" s="119">
        <v>6</v>
      </c>
      <c r="B46" s="120" t="s">
        <v>33</v>
      </c>
      <c r="C46" s="121" t="s">
        <v>27</v>
      </c>
      <c r="D46" s="122">
        <v>200</v>
      </c>
      <c r="E46" s="122">
        <v>6.8555040667028484</v>
      </c>
      <c r="F46" s="123">
        <v>-5.5149396525222549E-3</v>
      </c>
      <c r="G46" s="123">
        <v>6.8555040667028484</v>
      </c>
      <c r="H46" s="123">
        <v>291.08616775672783</v>
      </c>
      <c r="I46" s="58"/>
    </row>
    <row r="47" spans="1:13" ht="12.75" customHeight="1" x14ac:dyDescent="0.2">
      <c r="A47" s="41"/>
      <c r="B47" s="41"/>
      <c r="C47" s="41"/>
      <c r="D47" s="41"/>
      <c r="E47" s="41"/>
      <c r="F47" s="41"/>
      <c r="G47" s="41"/>
      <c r="H47" s="41"/>
      <c r="I47" s="41"/>
      <c r="J47" s="41"/>
    </row>
  </sheetData>
  <mergeCells count="4">
    <mergeCell ref="L41:M41"/>
    <mergeCell ref="A1:H1"/>
    <mergeCell ref="L43:M43"/>
    <mergeCell ref="L45:M45"/>
  </mergeCells>
  <pageMargins left="0.77986109999999997" right="0.50972220000000001" top="0.99027779999999999" bottom="0.8" header="0.5" footer="0.5"/>
  <pageSetup fitToHeight="0" orientation="portrait"/>
  <headerFooter alignWithMargins="0">
    <oddHeader>&amp;L&amp;08&amp;"Microsoft Sans Serif"Instrument:{seq.instrument}
Sequence:{seq.name}&amp;R&amp;08&amp;"Microsoft Sans Serif"Page &amp;P of &amp;N</oddHeader>
    <oddFooter>&amp;L&amp;08&amp;"Microsoft Sans Serif"{rdf.name}/&amp;A &amp;R&amp;08&amp;"Microsoft Sans Serif"© 2009-2023 Thermo Fisher Scientific Inc. All rights reserved.
Chromeleon {gen.version}</oddFooter>
    <evenHeader>&amp;L&amp;08&amp;"Microsoft Sans Serif"Instrument:{seq.instrument}
Sequence:{seq.name}&amp;R&amp;08&amp;"Microsoft Sans Serif"Page &amp;P of &amp;N</evenHeader>
    <evenFooter>&amp;L&amp;08&amp;"Microsoft Sans Serif"{rdf.name}/&amp;A &amp;R&amp;08&amp;"Microsoft Sans Serif"© 2009-2023 Thermo Fisher Scientific Inc. All rights reserved.
Chromeleon {gen.version}</even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46"/>
  <sheetViews>
    <sheetView showOutlineSymbols="0" zoomScaleNormal="100" zoomScaleSheetLayoutView="100" workbookViewId="0">
      <selection activeCell="C1" sqref="A1:H1"/>
    </sheetView>
  </sheetViews>
  <sheetFormatPr defaultColWidth="9.140625" defaultRowHeight="12.75" customHeight="1" x14ac:dyDescent="0.2"/>
  <cols>
    <col min="1" max="1" width="5.28515625" customWidth="1"/>
    <col min="2" max="2" width="21.140625" customWidth="1"/>
    <col min="3" max="3" width="16" customWidth="1"/>
    <col min="4" max="4" width="11" customWidth="1"/>
    <col min="5" max="5" width="9.28515625" customWidth="1"/>
    <col min="6" max="6" width="15.42578125" customWidth="1"/>
    <col min="7" max="7" width="15.140625" customWidth="1"/>
    <col min="8" max="8" width="12.7109375" customWidth="1"/>
    <col min="9" max="9" width="1.7109375" customWidth="1"/>
  </cols>
  <sheetData>
    <row r="1" spans="1:8" ht="17.25" customHeight="1" x14ac:dyDescent="0.2">
      <c r="A1" s="237" t="s">
        <v>342</v>
      </c>
      <c r="B1" s="238"/>
      <c r="C1" s="238"/>
      <c r="D1" s="238"/>
      <c r="E1" s="238"/>
      <c r="F1" s="238"/>
      <c r="G1" s="238"/>
      <c r="H1" s="239"/>
    </row>
    <row r="2" spans="1:8" ht="12.75" customHeight="1" x14ac:dyDescent="0.2">
      <c r="A2" s="5"/>
      <c r="B2" s="6"/>
      <c r="C2" s="6"/>
      <c r="D2" s="6"/>
      <c r="E2" s="6"/>
      <c r="F2" s="6"/>
      <c r="G2" s="6"/>
      <c r="H2" s="7"/>
    </row>
    <row r="3" spans="1:8" ht="12.75" customHeight="1" x14ac:dyDescent="0.2">
      <c r="A3" s="124" t="s">
        <v>15</v>
      </c>
      <c r="B3" s="125"/>
      <c r="C3" s="125"/>
      <c r="D3" s="125"/>
      <c r="E3" s="125"/>
      <c r="F3" s="125"/>
      <c r="G3" s="126"/>
      <c r="H3" s="127"/>
    </row>
    <row r="4" spans="1:8" ht="12.75" customHeight="1" x14ac:dyDescent="0.2">
      <c r="A4" s="128" t="s">
        <v>38</v>
      </c>
      <c r="B4" s="129"/>
      <c r="C4" s="130" t="s">
        <v>24</v>
      </c>
      <c r="D4" s="131"/>
      <c r="E4" s="131"/>
      <c r="F4" s="129" t="s">
        <v>40</v>
      </c>
      <c r="G4" s="132">
        <v>0.45</v>
      </c>
      <c r="H4" s="133"/>
    </row>
    <row r="5" spans="1:8" ht="12.75" customHeight="1" x14ac:dyDescent="0.2">
      <c r="A5" s="134" t="s">
        <v>41</v>
      </c>
      <c r="B5" s="135"/>
      <c r="C5" s="136" t="s">
        <v>25</v>
      </c>
      <c r="D5" s="137"/>
      <c r="E5" s="137"/>
      <c r="F5" s="135" t="s">
        <v>42</v>
      </c>
      <c r="G5" s="132">
        <v>2</v>
      </c>
      <c r="H5" s="133"/>
    </row>
    <row r="6" spans="1:8" s="3" customFormat="1" ht="12.75" customHeight="1" x14ac:dyDescent="0.2">
      <c r="A6" s="134" t="s">
        <v>43</v>
      </c>
      <c r="B6" s="135"/>
      <c r="C6" s="136" t="s">
        <v>26</v>
      </c>
      <c r="D6" s="137"/>
      <c r="E6" s="137"/>
      <c r="F6" s="135" t="s">
        <v>44</v>
      </c>
      <c r="G6" s="136" t="s">
        <v>341</v>
      </c>
      <c r="H6" s="138"/>
    </row>
    <row r="7" spans="1:8" ht="12" customHeight="1" x14ac:dyDescent="0.2">
      <c r="A7" s="134" t="s">
        <v>46</v>
      </c>
      <c r="B7" s="135"/>
      <c r="C7" s="136" t="s">
        <v>27</v>
      </c>
      <c r="D7" s="137"/>
      <c r="E7" s="137"/>
      <c r="F7" s="135" t="s">
        <v>47</v>
      </c>
      <c r="G7" s="136">
        <v>244</v>
      </c>
      <c r="H7" s="139"/>
    </row>
    <row r="8" spans="1:8" ht="12" customHeight="1" x14ac:dyDescent="0.2">
      <c r="A8" s="134" t="s">
        <v>49</v>
      </c>
      <c r="B8" s="135"/>
      <c r="C8" s="136" t="s">
        <v>343</v>
      </c>
      <c r="D8" s="137"/>
      <c r="E8" s="137"/>
      <c r="F8" s="135" t="s">
        <v>50</v>
      </c>
      <c r="G8" s="136">
        <v>4</v>
      </c>
      <c r="H8" s="138"/>
    </row>
    <row r="9" spans="1:8" ht="12" customHeight="1" x14ac:dyDescent="0.2">
      <c r="A9" s="134" t="s">
        <v>51</v>
      </c>
      <c r="B9" s="135"/>
      <c r="C9" s="136" t="s">
        <v>343</v>
      </c>
      <c r="D9" s="137"/>
      <c r="E9" s="137"/>
      <c r="F9" s="135" t="s">
        <v>53</v>
      </c>
      <c r="G9" s="140">
        <v>1</v>
      </c>
      <c r="H9" s="141"/>
    </row>
    <row r="10" spans="1:8" ht="12" customHeight="1" x14ac:dyDescent="0.2">
      <c r="A10" s="142" t="s">
        <v>54</v>
      </c>
      <c r="B10" s="143"/>
      <c r="C10" s="144">
        <v>44754.551724537036</v>
      </c>
      <c r="D10" s="145"/>
      <c r="E10" s="145"/>
      <c r="F10" s="143" t="s">
        <v>55</v>
      </c>
      <c r="G10" s="146">
        <v>1</v>
      </c>
      <c r="H10" s="147"/>
    </row>
    <row r="11" spans="1:8" ht="12" customHeight="1" x14ac:dyDescent="0.2">
      <c r="A11" s="18"/>
      <c r="B11" s="18"/>
      <c r="C11" s="51"/>
      <c r="D11" s="2"/>
      <c r="E11" s="2"/>
      <c r="F11" s="18"/>
      <c r="G11" s="18"/>
      <c r="H11" s="46"/>
    </row>
    <row r="12" spans="1:8" s="4" customFormat="1" ht="15.75" x14ac:dyDescent="0.2">
      <c r="A12" s="29" t="s">
        <v>56</v>
      </c>
      <c r="B12" s="30"/>
      <c r="C12" s="30"/>
      <c r="D12" s="30"/>
      <c r="E12" s="30"/>
      <c r="F12" s="30"/>
      <c r="G12" s="30"/>
      <c r="H12" s="31"/>
    </row>
    <row r="39" spans="1:9" ht="15" customHeight="1" x14ac:dyDescent="0.2">
      <c r="A39" s="148" t="s">
        <v>344</v>
      </c>
      <c r="B39" s="149"/>
      <c r="C39" s="149"/>
      <c r="D39" s="149"/>
      <c r="E39" s="149"/>
      <c r="F39" s="149"/>
      <c r="G39" s="149"/>
      <c r="H39" s="150"/>
    </row>
    <row r="40" spans="1:9" ht="12.75" customHeight="1" x14ac:dyDescent="0.2">
      <c r="A40" s="55" t="s">
        <v>58</v>
      </c>
      <c r="B40" s="56" t="s">
        <v>59</v>
      </c>
      <c r="C40" s="57" t="s">
        <v>345</v>
      </c>
      <c r="D40" s="57" t="s">
        <v>346</v>
      </c>
      <c r="E40" s="57" t="s">
        <v>347</v>
      </c>
      <c r="F40" s="57" t="s">
        <v>348</v>
      </c>
      <c r="G40" s="57" t="s">
        <v>349</v>
      </c>
      <c r="H40" s="57" t="s">
        <v>350</v>
      </c>
      <c r="I40" s="58"/>
    </row>
    <row r="41" spans="1:9" ht="12.75" customHeight="1" x14ac:dyDescent="0.2">
      <c r="A41" s="59" t="s">
        <v>23</v>
      </c>
      <c r="B41" s="60" t="s">
        <v>23</v>
      </c>
      <c r="C41" s="61" t="s">
        <v>67</v>
      </c>
      <c r="D41" s="61" t="s">
        <v>67</v>
      </c>
      <c r="E41" s="61" t="s">
        <v>23</v>
      </c>
      <c r="F41" s="61" t="s">
        <v>23</v>
      </c>
      <c r="G41" s="61" t="s">
        <v>23</v>
      </c>
      <c r="H41" s="61" t="s">
        <v>23</v>
      </c>
      <c r="I41" s="58"/>
    </row>
    <row r="42" spans="1:9" ht="12.75" hidden="1" customHeight="1" x14ac:dyDescent="0.2">
      <c r="A42" s="62" t="s">
        <v>341</v>
      </c>
      <c r="B42" s="63" t="s">
        <v>341</v>
      </c>
      <c r="C42" s="64" t="s">
        <v>341</v>
      </c>
      <c r="D42" s="64" t="s">
        <v>341</v>
      </c>
      <c r="E42" s="64" t="s">
        <v>341</v>
      </c>
      <c r="F42" s="64" t="s">
        <v>341</v>
      </c>
      <c r="G42" s="64" t="s">
        <v>341</v>
      </c>
      <c r="H42" s="64" t="s">
        <v>341</v>
      </c>
      <c r="I42" s="58"/>
    </row>
    <row r="43" spans="1:9" ht="12.75" customHeight="1" x14ac:dyDescent="0.2">
      <c r="A43" s="65">
        <v>1</v>
      </c>
      <c r="B43" s="109" t="s">
        <v>320</v>
      </c>
      <c r="C43" s="151">
        <v>0.17016666666666666</v>
      </c>
      <c r="D43" s="152">
        <v>1.6292151898436691E-2</v>
      </c>
      <c r="E43" s="153" t="s">
        <v>351</v>
      </c>
      <c r="F43" s="154">
        <v>2.720316315062699</v>
      </c>
      <c r="G43" s="154">
        <v>1.4765908837209638</v>
      </c>
      <c r="H43" s="153">
        <v>604</v>
      </c>
    </row>
    <row r="44" spans="1:9" ht="12.75" customHeight="1" x14ac:dyDescent="0.2">
      <c r="A44" s="71">
        <v>2</v>
      </c>
      <c r="B44" s="115" t="s">
        <v>191</v>
      </c>
      <c r="C44" s="155">
        <v>0.24583333333333332</v>
      </c>
      <c r="D44" s="156">
        <v>1.6530011528763405E-2</v>
      </c>
      <c r="E44" s="157" t="s">
        <v>352</v>
      </c>
      <c r="F44" s="158">
        <v>4.0274807738049265</v>
      </c>
      <c r="G44" s="158">
        <v>1.4326622856285074</v>
      </c>
      <c r="H44" s="157">
        <v>1225</v>
      </c>
    </row>
    <row r="45" spans="1:9" ht="12.75" customHeight="1" x14ac:dyDescent="0.2">
      <c r="A45" s="77">
        <v>3</v>
      </c>
      <c r="B45" s="120" t="s">
        <v>353</v>
      </c>
      <c r="C45" s="159">
        <v>0.36283333333333334</v>
      </c>
      <c r="D45" s="160">
        <v>1.7749481721199167E-2</v>
      </c>
      <c r="E45" s="161" t="s">
        <v>351</v>
      </c>
      <c r="F45" s="162" t="s">
        <v>48</v>
      </c>
      <c r="G45" s="162">
        <v>1.3521904745949285</v>
      </c>
      <c r="H45" s="161">
        <v>2315</v>
      </c>
    </row>
    <row r="46" spans="1:9" ht="12.75" customHeight="1" x14ac:dyDescent="0.2">
      <c r="A46" s="41"/>
      <c r="B46" s="41"/>
      <c r="C46" s="41"/>
      <c r="D46" s="41"/>
      <c r="E46" s="41"/>
      <c r="F46" s="41"/>
      <c r="G46" s="41"/>
      <c r="H46" s="41"/>
      <c r="I46" s="41"/>
    </row>
  </sheetData>
  <mergeCells count="1">
    <mergeCell ref="A1:H1"/>
  </mergeCells>
  <pageMargins left="0.77986109999999997" right="0.50972220000000001" top="0.99027779999999999" bottom="0.8" header="0.5" footer="0.5"/>
  <pageSetup fitToHeight="8" orientation="portrait"/>
  <headerFooter alignWithMargins="0">
    <oddHeader>&amp;L&amp;08&amp;"Microsoft Sans Serif"Instrument:{seq.instrument}
Sequence:{seq.name}&amp;R&amp;08&amp;"Microsoft Sans Serif"Page &amp;P of &amp;N</oddHeader>
    <oddFooter>&amp;L&amp;08&amp;"Microsoft Sans Serif"{rdf.name}/&amp;A&amp;R&amp;08&amp;"Microsoft Sans Serif"© 2009-2023 Thermo Fisher Scientific Inc. All rights reserved.
Chromeleon {gen.version}</oddFooter>
    <evenHeader>&amp;L&amp;08&amp;"Microsoft Sans Serif"Instrument:{seq.instrument}
Sequence:{seq.name}&amp;R&amp;08&amp;"Microsoft Sans Serif"Page &amp;P of &amp;N</evenHeader>
    <evenFooter>&amp;L&amp;08&amp;"Microsoft Sans Serif"{rdf.name}/&amp;A&amp;R&amp;08&amp;"Microsoft Sans Serif"© 2009-2023 Thermo Fisher Scientific Inc. All rights reserved.
Chromeleon {gen.version}</even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51"/>
  <sheetViews>
    <sheetView zoomScaleNormal="100" zoomScaleSheetLayoutView="100" workbookViewId="0">
      <selection activeCell="C1" sqref="A1:F1"/>
    </sheetView>
  </sheetViews>
  <sheetFormatPr defaultColWidth="9.140625" defaultRowHeight="12.75" x14ac:dyDescent="0.2"/>
  <cols>
    <col min="1" max="1" width="5.85546875" customWidth="1"/>
    <col min="2" max="2" width="21.140625" customWidth="1"/>
    <col min="3" max="3" width="31" customWidth="1"/>
    <col min="4" max="4" width="12.5703125" customWidth="1"/>
    <col min="5" max="5" width="15.42578125" customWidth="1"/>
    <col min="6" max="6" width="14.7109375" customWidth="1"/>
    <col min="7" max="7" width="1.5703125" customWidth="1"/>
  </cols>
  <sheetData>
    <row r="1" spans="1:9" ht="21" x14ac:dyDescent="0.2">
      <c r="A1" s="244" t="s">
        <v>354</v>
      </c>
      <c r="B1" s="245"/>
      <c r="C1" s="245"/>
      <c r="D1" s="245"/>
      <c r="E1" s="245"/>
      <c r="F1" s="246"/>
    </row>
    <row r="2" spans="1:9" s="1" customFormat="1" x14ac:dyDescent="0.2">
      <c r="A2" s="5"/>
      <c r="B2" s="6"/>
      <c r="C2" s="6"/>
      <c r="D2" s="163"/>
      <c r="E2" s="6"/>
      <c r="F2" s="7"/>
    </row>
    <row r="3" spans="1:9" s="1" customFormat="1" ht="15.75" x14ac:dyDescent="0.2">
      <c r="A3" s="8" t="s">
        <v>15</v>
      </c>
      <c r="B3" s="9"/>
      <c r="C3" s="9"/>
      <c r="D3" s="164"/>
      <c r="E3" s="9"/>
      <c r="F3" s="165"/>
      <c r="G3" s="166"/>
      <c r="H3" s="166"/>
    </row>
    <row r="4" spans="1:9" s="2" customFormat="1" ht="12.75" customHeight="1" x14ac:dyDescent="0.2">
      <c r="A4" s="167" t="s">
        <v>38</v>
      </c>
      <c r="B4" s="168"/>
      <c r="C4" s="169" t="s">
        <v>24</v>
      </c>
      <c r="D4" s="170"/>
      <c r="E4" s="168" t="s">
        <v>40</v>
      </c>
      <c r="F4" s="171">
        <v>0.45</v>
      </c>
      <c r="G4" s="172"/>
      <c r="H4" s="172"/>
      <c r="I4" s="173"/>
    </row>
    <row r="5" spans="1:9" s="1" customFormat="1" ht="12.75" customHeight="1" x14ac:dyDescent="0.2">
      <c r="A5" s="174" t="s">
        <v>41</v>
      </c>
      <c r="B5" s="175"/>
      <c r="C5" s="176" t="s">
        <v>25</v>
      </c>
      <c r="D5" s="177"/>
      <c r="E5" s="175" t="s">
        <v>42</v>
      </c>
      <c r="F5" s="178">
        <v>2</v>
      </c>
      <c r="G5" s="172"/>
      <c r="H5" s="172"/>
      <c r="I5" s="179"/>
    </row>
    <row r="6" spans="1:9" s="1" customFormat="1" ht="12.75" customHeight="1" x14ac:dyDescent="0.2">
      <c r="A6" s="174" t="s">
        <v>43</v>
      </c>
      <c r="B6" s="175"/>
      <c r="C6" s="176" t="s">
        <v>26</v>
      </c>
      <c r="D6" s="177"/>
      <c r="E6" s="175" t="s">
        <v>44</v>
      </c>
      <c r="F6" s="180" t="s">
        <v>341</v>
      </c>
      <c r="G6" s="181"/>
      <c r="H6" s="181"/>
      <c r="I6" s="179"/>
    </row>
    <row r="7" spans="1:9" s="1" customFormat="1" ht="12.75" customHeight="1" x14ac:dyDescent="0.2">
      <c r="A7" s="174" t="s">
        <v>46</v>
      </c>
      <c r="B7" s="175"/>
      <c r="C7" s="176" t="s">
        <v>27</v>
      </c>
      <c r="D7" s="177"/>
      <c r="E7" s="175" t="s">
        <v>47</v>
      </c>
      <c r="F7" s="180">
        <v>244</v>
      </c>
      <c r="G7" s="181"/>
      <c r="H7" s="182"/>
      <c r="I7" s="179"/>
    </row>
    <row r="8" spans="1:9" s="1" customFormat="1" ht="12.75" customHeight="1" x14ac:dyDescent="0.2">
      <c r="A8" s="174" t="s">
        <v>49</v>
      </c>
      <c r="B8" s="175"/>
      <c r="C8" s="176" t="s">
        <v>343</v>
      </c>
      <c r="D8" s="177"/>
      <c r="E8" s="175" t="s">
        <v>50</v>
      </c>
      <c r="F8" s="180">
        <v>4</v>
      </c>
      <c r="G8" s="181"/>
      <c r="H8" s="181"/>
      <c r="I8" s="179"/>
    </row>
    <row r="9" spans="1:9" s="1" customFormat="1" ht="12.75" customHeight="1" x14ac:dyDescent="0.2">
      <c r="A9" s="174" t="s">
        <v>51</v>
      </c>
      <c r="B9" s="175"/>
      <c r="C9" s="176" t="s">
        <v>343</v>
      </c>
      <c r="D9" s="177"/>
      <c r="E9" s="175" t="s">
        <v>53</v>
      </c>
      <c r="F9" s="183">
        <v>1</v>
      </c>
      <c r="G9" s="184"/>
      <c r="H9" s="184"/>
      <c r="I9" s="179"/>
    </row>
    <row r="10" spans="1:9" s="2" customFormat="1" ht="12.75" customHeight="1" x14ac:dyDescent="0.2">
      <c r="A10" s="185" t="s">
        <v>54</v>
      </c>
      <c r="B10" s="186"/>
      <c r="C10" s="187">
        <v>44754.551724537036</v>
      </c>
      <c r="D10" s="188"/>
      <c r="E10" s="186" t="s">
        <v>55</v>
      </c>
      <c r="F10" s="189">
        <v>1</v>
      </c>
      <c r="G10" s="184"/>
      <c r="H10" s="184"/>
      <c r="I10" s="173"/>
    </row>
    <row r="11" spans="1:9" s="2" customFormat="1" ht="12.75" customHeight="1" x14ac:dyDescent="0.2">
      <c r="A11" s="18"/>
      <c r="B11" s="18"/>
      <c r="C11" s="51"/>
      <c r="E11" s="18"/>
      <c r="F11" s="18"/>
      <c r="G11" s="190"/>
      <c r="H11" s="190"/>
    </row>
    <row r="12" spans="1:9" s="2" customFormat="1" ht="12.75" customHeight="1" x14ac:dyDescent="0.2">
      <c r="A12" s="29" t="s">
        <v>56</v>
      </c>
      <c r="B12" s="30"/>
      <c r="C12" s="30"/>
      <c r="D12" s="191"/>
      <c r="E12" s="30"/>
      <c r="F12" s="31"/>
    </row>
    <row r="13" spans="1:9" s="2" customFormat="1" ht="12.75" customHeight="1" x14ac:dyDescent="0.2">
      <c r="A13"/>
      <c r="B13"/>
      <c r="C13"/>
      <c r="D13"/>
      <c r="E13"/>
      <c r="F13"/>
    </row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spans="1:7" ht="12.75" customHeight="1" x14ac:dyDescent="0.2"/>
    <row r="34" spans="1:7" ht="12.75" customHeight="1" x14ac:dyDescent="0.2"/>
    <row r="35" spans="1:7" ht="12.75" customHeight="1" x14ac:dyDescent="0.2"/>
    <row r="36" spans="1:7" ht="12.75" customHeight="1" x14ac:dyDescent="0.2"/>
    <row r="37" spans="1:7" ht="12.75" customHeight="1" x14ac:dyDescent="0.2"/>
    <row r="38" spans="1:7" ht="12.75" customHeight="1" x14ac:dyDescent="0.2"/>
    <row r="39" spans="1:7" ht="15.75" x14ac:dyDescent="0.2">
      <c r="A39" s="29" t="s">
        <v>355</v>
      </c>
      <c r="B39" s="30"/>
      <c r="C39" s="30"/>
      <c r="D39" s="191"/>
      <c r="E39" s="30"/>
      <c r="F39" s="31"/>
    </row>
    <row r="40" spans="1:7" x14ac:dyDescent="0.2">
      <c r="A40" s="192" t="s">
        <v>58</v>
      </c>
      <c r="B40" s="192" t="s">
        <v>356</v>
      </c>
      <c r="C40" s="192" t="s">
        <v>357</v>
      </c>
      <c r="D40" s="192" t="s">
        <v>358</v>
      </c>
      <c r="E40" s="193" t="s">
        <v>359</v>
      </c>
      <c r="F40" s="192" t="s">
        <v>360</v>
      </c>
      <c r="G40" s="58"/>
    </row>
    <row r="41" spans="1:7" x14ac:dyDescent="0.2">
      <c r="A41" s="194">
        <v>1</v>
      </c>
      <c r="B41" s="195" t="s">
        <v>361</v>
      </c>
      <c r="C41" s="195" t="s">
        <v>362</v>
      </c>
      <c r="D41" s="195" t="s">
        <v>363</v>
      </c>
      <c r="E41" s="196" t="s">
        <v>364</v>
      </c>
      <c r="F41" s="195" t="s">
        <v>24</v>
      </c>
    </row>
    <row r="42" spans="1:7" x14ac:dyDescent="0.2">
      <c r="A42" s="194">
        <v>2</v>
      </c>
      <c r="B42" s="195" t="s">
        <v>365</v>
      </c>
      <c r="C42" s="195" t="s">
        <v>366</v>
      </c>
      <c r="D42" s="195" t="s">
        <v>320</v>
      </c>
      <c r="E42" s="196" t="s">
        <v>364</v>
      </c>
      <c r="F42" s="195" t="s">
        <v>24</v>
      </c>
    </row>
    <row r="43" spans="1:7" x14ac:dyDescent="0.2">
      <c r="A43" s="194">
        <v>3</v>
      </c>
      <c r="B43" s="195" t="s">
        <v>367</v>
      </c>
      <c r="C43" s="195" t="s">
        <v>368</v>
      </c>
      <c r="D43" s="195" t="s">
        <v>369</v>
      </c>
      <c r="E43" s="196" t="s">
        <v>364</v>
      </c>
      <c r="F43" s="195" t="s">
        <v>24</v>
      </c>
    </row>
    <row r="44" spans="1:7" x14ac:dyDescent="0.2">
      <c r="A44" s="194">
        <v>4</v>
      </c>
      <c r="B44" s="195" t="s">
        <v>370</v>
      </c>
      <c r="C44" s="195" t="s">
        <v>362</v>
      </c>
      <c r="D44" s="195" t="s">
        <v>371</v>
      </c>
      <c r="E44" s="196" t="s">
        <v>364</v>
      </c>
      <c r="F44" s="195" t="s">
        <v>24</v>
      </c>
    </row>
    <row r="45" spans="1:7" x14ac:dyDescent="0.2">
      <c r="A45" s="194" t="s">
        <v>23</v>
      </c>
      <c r="B45" s="195" t="s">
        <v>23</v>
      </c>
      <c r="C45" s="195" t="s">
        <v>23</v>
      </c>
      <c r="D45" s="195" t="s">
        <v>23</v>
      </c>
      <c r="E45" s="196" t="s">
        <v>23</v>
      </c>
      <c r="F45" s="195" t="s">
        <v>24</v>
      </c>
    </row>
    <row r="46" spans="1:7" x14ac:dyDescent="0.2">
      <c r="A46" s="194" t="s">
        <v>23</v>
      </c>
      <c r="B46" s="195" t="s">
        <v>23</v>
      </c>
      <c r="C46" s="195" t="s">
        <v>23</v>
      </c>
      <c r="D46" s="195" t="s">
        <v>23</v>
      </c>
      <c r="E46" s="196" t="s">
        <v>23</v>
      </c>
      <c r="F46" s="195" t="s">
        <v>24</v>
      </c>
    </row>
    <row r="47" spans="1:7" x14ac:dyDescent="0.2">
      <c r="A47" s="194">
        <v>5</v>
      </c>
      <c r="B47" s="195" t="s">
        <v>372</v>
      </c>
      <c r="C47" s="195" t="s">
        <v>373</v>
      </c>
      <c r="D47" s="195" t="s">
        <v>23</v>
      </c>
      <c r="E47" s="196" t="s">
        <v>364</v>
      </c>
      <c r="F47" s="195" t="s">
        <v>24</v>
      </c>
    </row>
    <row r="48" spans="1:7" x14ac:dyDescent="0.2">
      <c r="A48" s="194">
        <v>6</v>
      </c>
      <c r="B48" s="195" t="s">
        <v>374</v>
      </c>
      <c r="C48" s="195" t="s">
        <v>375</v>
      </c>
      <c r="D48" s="195" t="s">
        <v>371</v>
      </c>
      <c r="E48" s="196" t="s">
        <v>364</v>
      </c>
      <c r="F48" s="195" t="s">
        <v>24</v>
      </c>
    </row>
    <row r="49" spans="1:6" x14ac:dyDescent="0.2">
      <c r="A49" s="194" t="s">
        <v>23</v>
      </c>
      <c r="B49" s="195" t="s">
        <v>23</v>
      </c>
      <c r="C49" s="195" t="s">
        <v>23</v>
      </c>
      <c r="D49" s="195" t="s">
        <v>23</v>
      </c>
      <c r="E49" s="196" t="s">
        <v>23</v>
      </c>
      <c r="F49" s="195" t="s">
        <v>24</v>
      </c>
    </row>
    <row r="50" spans="1:6" x14ac:dyDescent="0.2">
      <c r="A50" s="194" t="s">
        <v>23</v>
      </c>
      <c r="B50" s="195" t="s">
        <v>23</v>
      </c>
      <c r="C50" s="195" t="s">
        <v>23</v>
      </c>
      <c r="D50" s="195" t="s">
        <v>23</v>
      </c>
      <c r="E50" s="196" t="s">
        <v>23</v>
      </c>
      <c r="F50" s="195" t="s">
        <v>24</v>
      </c>
    </row>
    <row r="51" spans="1:6" ht="17.25" customHeight="1" x14ac:dyDescent="0.2">
      <c r="A51" s="83"/>
      <c r="B51" s="197" t="s">
        <v>376</v>
      </c>
      <c r="C51" s="198">
        <f ca="1">IF(AND(E41="n.a.",INDIRECT(ADDRESS(ROW(E41)+1,COLUMN(E41)))="n.a."),"n.a.",ROWS(E41:E50)-COUNTIF(E41:E50,"Not Executed")-COUNTIF(E41:E50,"n.a.")-COUNTIF(E41:E50,""))</f>
        <v>0</v>
      </c>
      <c r="D51" s="199" t="s">
        <v>377</v>
      </c>
      <c r="E51" s="200" t="s">
        <v>364</v>
      </c>
      <c r="F51" s="201"/>
    </row>
  </sheetData>
  <mergeCells count="1">
    <mergeCell ref="A1:F1"/>
  </mergeCells>
  <pageMargins left="0.77986109999999997" right="0.49027779999999999" top="0.97986110000000004" bottom="0.77986109999999997" header="0.49652780000000002" footer="0.49652780000000002"/>
  <pageSetup fitToHeight="8" orientation="portrait"/>
  <headerFooter alignWithMargins="0">
    <oddHeader>&amp;L&amp;08&amp;"Microsoft Sans Serif"Instrument:{seq.instrument}
Sequence:{seq.name}&amp;R&amp;08&amp;"Microsoft Sans Serif"Page &amp;P of &amp;N</oddHeader>
    <oddFooter>&amp;L&amp;08&amp;"Microsoft Sans Serif"{rdf.name}/&amp;A &amp;R&amp;08&amp;"Microsoft Sans Serif"© 2009-2023 Thermo Fisher Scientific Inc. All rights reserved.
Chromeleon {gen.version}</oddFooter>
    <evenHeader>&amp;L&amp;08&amp;"Microsoft Sans Serif"Instrument:{seq.instrument}
Sequence:{seq.name}&amp;R&amp;08&amp;"Microsoft Sans Serif"Page &amp;P of &amp;N</evenHeader>
    <evenFooter>&amp;L&amp;08&amp;"Microsoft Sans Serif"{rdf.name}/&amp;A &amp;R&amp;08&amp;"Microsoft Sans Serif"© 2009-2023 Thermo Fisher Scientific Inc. All rights reserved.
Chromeleon {gen.version}</even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21"/>
  <sheetViews>
    <sheetView showOutlineSymbols="0" zoomScaleNormal="100" zoomScaleSheetLayoutView="100" workbookViewId="0">
      <selection activeCell="B1" sqref="A1:H1"/>
    </sheetView>
  </sheetViews>
  <sheetFormatPr defaultColWidth="9.140625" defaultRowHeight="12.75" customHeight="1" x14ac:dyDescent="0.2"/>
  <cols>
    <col min="1" max="1" width="7.5703125" style="113" customWidth="1"/>
    <col min="2" max="2" width="22" style="2" customWidth="1"/>
    <col min="3" max="3" width="13.28515625" style="113" customWidth="1"/>
    <col min="4" max="6" width="12.85546875" style="113" customWidth="1"/>
    <col min="7" max="7" width="17.5703125" style="113" customWidth="1"/>
    <col min="8" max="8" width="12.85546875" style="113" customWidth="1"/>
    <col min="9" max="9" width="11.28515625" customWidth="1"/>
  </cols>
  <sheetData>
    <row r="1" spans="1:8" ht="21" x14ac:dyDescent="0.2">
      <c r="A1" s="237" t="s">
        <v>378</v>
      </c>
      <c r="B1" s="238"/>
      <c r="C1" s="238"/>
      <c r="D1" s="238"/>
      <c r="E1" s="238"/>
      <c r="F1" s="238"/>
      <c r="G1" s="238"/>
      <c r="H1" s="239"/>
    </row>
    <row r="2" spans="1:8" ht="13.9" customHeight="1" x14ac:dyDescent="0.2">
      <c r="A2" s="202"/>
      <c r="B2" s="203"/>
      <c r="C2" s="203"/>
      <c r="D2" s="203"/>
      <c r="E2" s="203"/>
      <c r="F2" s="203"/>
      <c r="G2" s="203"/>
      <c r="H2" s="204"/>
    </row>
    <row r="3" spans="1:8" ht="12.75" customHeight="1" x14ac:dyDescent="0.2">
      <c r="A3" s="29" t="s">
        <v>1</v>
      </c>
      <c r="B3" s="30"/>
      <c r="C3" s="30"/>
      <c r="D3" s="30"/>
      <c r="E3" s="30"/>
      <c r="F3" s="30"/>
      <c r="G3" s="30"/>
      <c r="H3" s="31"/>
    </row>
    <row r="4" spans="1:8" ht="12.75" customHeight="1" x14ac:dyDescent="0.2">
      <c r="A4" s="17" t="s">
        <v>2</v>
      </c>
      <c r="B4" s="18"/>
      <c r="C4" s="130" t="s">
        <v>3</v>
      </c>
      <c r="D4" s="2"/>
      <c r="E4" s="2"/>
      <c r="F4" s="18" t="s">
        <v>4</v>
      </c>
      <c r="G4" s="205">
        <v>42865.586736805555</v>
      </c>
      <c r="H4" s="21"/>
    </row>
    <row r="5" spans="1:8" ht="12.75" customHeight="1" x14ac:dyDescent="0.2">
      <c r="A5" s="17" t="s">
        <v>5</v>
      </c>
      <c r="B5" s="18"/>
      <c r="C5" s="136" t="s">
        <v>6</v>
      </c>
      <c r="D5" s="2"/>
      <c r="E5" s="2"/>
      <c r="F5" s="18" t="s">
        <v>7</v>
      </c>
      <c r="G5" s="138" t="s">
        <v>8</v>
      </c>
      <c r="H5" s="20"/>
    </row>
    <row r="6" spans="1:8" ht="12.75" customHeight="1" x14ac:dyDescent="0.2">
      <c r="A6" s="17" t="s">
        <v>9</v>
      </c>
      <c r="B6" s="18"/>
      <c r="C6" s="136" t="s">
        <v>10</v>
      </c>
      <c r="D6" s="2"/>
      <c r="E6" s="2"/>
      <c r="F6" s="18" t="s">
        <v>11</v>
      </c>
      <c r="G6" s="206">
        <v>45015.525102340107</v>
      </c>
      <c r="H6" s="21"/>
    </row>
    <row r="7" spans="1:8" ht="12.75" customHeight="1" x14ac:dyDescent="0.2">
      <c r="A7" s="22" t="s">
        <v>12</v>
      </c>
      <c r="B7" s="23"/>
      <c r="C7" s="207">
        <v>7</v>
      </c>
      <c r="D7" s="25"/>
      <c r="E7" s="25"/>
      <c r="F7" s="23" t="s">
        <v>13</v>
      </c>
      <c r="G7" s="208" t="s">
        <v>14</v>
      </c>
      <c r="H7" s="26"/>
    </row>
    <row r="8" spans="1:8" ht="12.75" customHeight="1" x14ac:dyDescent="0.2">
      <c r="A8" s="209"/>
      <c r="B8"/>
      <c r="C8"/>
      <c r="D8"/>
      <c r="E8"/>
      <c r="F8"/>
      <c r="G8"/>
      <c r="H8" s="210"/>
    </row>
    <row r="9" spans="1:8" ht="13.9" customHeight="1" x14ac:dyDescent="0.25">
      <c r="A9" s="29" t="s">
        <v>379</v>
      </c>
      <c r="B9" s="30"/>
      <c r="C9" s="211" t="s">
        <v>320</v>
      </c>
      <c r="D9" s="30"/>
      <c r="E9" s="30"/>
      <c r="F9" s="30"/>
      <c r="G9" s="30"/>
      <c r="H9" s="212"/>
    </row>
    <row r="11" spans="1:8" ht="12.75" customHeight="1" x14ac:dyDescent="0.2">
      <c r="A11" s="213" t="s">
        <v>16</v>
      </c>
      <c r="B11" s="213" t="s">
        <v>17</v>
      </c>
      <c r="C11" s="214" t="s">
        <v>345</v>
      </c>
      <c r="D11" s="214" t="s">
        <v>336</v>
      </c>
      <c r="E11" s="214" t="s">
        <v>337</v>
      </c>
      <c r="F11" s="214" t="s">
        <v>380</v>
      </c>
      <c r="G11" s="214" t="s">
        <v>381</v>
      </c>
      <c r="H11" s="214" t="s">
        <v>382</v>
      </c>
    </row>
    <row r="12" spans="1:8" ht="12.75" customHeight="1" x14ac:dyDescent="0.2">
      <c r="A12" s="215" t="s">
        <v>23</v>
      </c>
      <c r="B12" s="215" t="s">
        <v>23</v>
      </c>
      <c r="C12" s="216" t="s">
        <v>67</v>
      </c>
      <c r="D12" s="216" t="s">
        <v>339</v>
      </c>
      <c r="E12" s="216" t="s">
        <v>340</v>
      </c>
      <c r="F12" s="216" t="s">
        <v>338</v>
      </c>
      <c r="G12" s="216" t="s">
        <v>70</v>
      </c>
      <c r="H12" s="216" t="s">
        <v>23</v>
      </c>
    </row>
    <row r="13" spans="1:8" ht="12.75" customHeight="1" x14ac:dyDescent="0.2">
      <c r="A13" s="215" t="s">
        <v>23</v>
      </c>
      <c r="B13" s="215" t="s">
        <v>23</v>
      </c>
      <c r="C13" s="216" t="s">
        <v>341</v>
      </c>
      <c r="D13" s="216" t="s">
        <v>341</v>
      </c>
      <c r="E13" s="216" t="s">
        <v>341</v>
      </c>
      <c r="F13" s="216" t="s">
        <v>341</v>
      </c>
      <c r="G13" s="216" t="s">
        <v>341</v>
      </c>
      <c r="H13" s="216" t="s">
        <v>341</v>
      </c>
    </row>
    <row r="14" spans="1:8" ht="12.75" hidden="1" customHeight="1" x14ac:dyDescent="0.2">
      <c r="A14" s="217" t="s">
        <v>23</v>
      </c>
      <c r="B14" s="217" t="s">
        <v>23</v>
      </c>
      <c r="C14" s="218" t="s">
        <v>320</v>
      </c>
      <c r="D14" s="218" t="s">
        <v>320</v>
      </c>
      <c r="E14" s="218" t="s">
        <v>320</v>
      </c>
      <c r="F14" s="218" t="s">
        <v>320</v>
      </c>
      <c r="G14" s="218" t="s">
        <v>320</v>
      </c>
      <c r="H14" s="218" t="s">
        <v>320</v>
      </c>
    </row>
    <row r="15" spans="1:8" ht="12.75" customHeight="1" x14ac:dyDescent="0.2">
      <c r="A15" s="219">
        <v>1</v>
      </c>
      <c r="B15" s="220" t="s">
        <v>24</v>
      </c>
      <c r="C15" s="221">
        <v>0.17016666666666666</v>
      </c>
      <c r="D15" s="221">
        <v>0.69371972846273344</v>
      </c>
      <c r="E15" s="221">
        <v>39.010697729988514</v>
      </c>
      <c r="F15" s="222">
        <v>20.073314721308105</v>
      </c>
      <c r="G15" s="223">
        <v>32.55243172146043</v>
      </c>
      <c r="H15" s="224" t="s">
        <v>351</v>
      </c>
    </row>
    <row r="16" spans="1:8" ht="12.75" customHeight="1" x14ac:dyDescent="0.2">
      <c r="A16" s="225">
        <v>2</v>
      </c>
      <c r="B16" s="226" t="s">
        <v>29</v>
      </c>
      <c r="C16" s="227">
        <v>0.17166666666666666</v>
      </c>
      <c r="D16" s="227">
        <v>1.3698938740860227</v>
      </c>
      <c r="E16" s="227">
        <v>73.714902489066759</v>
      </c>
      <c r="F16" s="228">
        <v>39.782602641775135</v>
      </c>
      <c r="G16" s="229">
        <v>32.508042696583445</v>
      </c>
      <c r="H16" s="230" t="s">
        <v>351</v>
      </c>
    </row>
    <row r="17" spans="1:8" ht="12.75" customHeight="1" x14ac:dyDescent="0.2">
      <c r="A17" s="219">
        <v>3</v>
      </c>
      <c r="B17" s="220" t="s">
        <v>30</v>
      </c>
      <c r="C17" s="221">
        <v>0.17399999999999999</v>
      </c>
      <c r="D17" s="221">
        <v>2.7485716066184356</v>
      </c>
      <c r="E17" s="221">
        <v>137.54195520314667</v>
      </c>
      <c r="F17" s="222">
        <v>79.96863542031393</v>
      </c>
      <c r="G17" s="223">
        <v>32.353945222991186</v>
      </c>
      <c r="H17" s="224" t="s">
        <v>351</v>
      </c>
    </row>
    <row r="18" spans="1:8" ht="12.75" customHeight="1" x14ac:dyDescent="0.2">
      <c r="A18" s="225">
        <v>4</v>
      </c>
      <c r="B18" s="226" t="s">
        <v>31</v>
      </c>
      <c r="C18" s="227">
        <v>0.17583333333333334</v>
      </c>
      <c r="D18" s="227">
        <v>4.1266369493860928</v>
      </c>
      <c r="E18" s="227">
        <v>194.96952132703973</v>
      </c>
      <c r="F18" s="228">
        <v>120.13681811352892</v>
      </c>
      <c r="G18" s="229">
        <v>32.448615565262642</v>
      </c>
      <c r="H18" s="230" t="s">
        <v>383</v>
      </c>
    </row>
    <row r="19" spans="1:8" ht="12.75" customHeight="1" x14ac:dyDescent="0.2">
      <c r="A19" s="219">
        <v>5</v>
      </c>
      <c r="B19" s="220" t="s">
        <v>32</v>
      </c>
      <c r="C19" s="221">
        <v>0.17816666666666667</v>
      </c>
      <c r="D19" s="221">
        <v>5.50659365464002</v>
      </c>
      <c r="E19" s="221">
        <v>244.80883722135221</v>
      </c>
      <c r="F19" s="222">
        <v>160.36013069901375</v>
      </c>
      <c r="G19" s="223">
        <v>32.488682908825979</v>
      </c>
      <c r="H19" s="224" t="s">
        <v>351</v>
      </c>
    </row>
    <row r="20" spans="1:8" ht="12.75" customHeight="1" x14ac:dyDescent="0.2">
      <c r="A20" s="225">
        <v>6</v>
      </c>
      <c r="B20" s="226" t="s">
        <v>33</v>
      </c>
      <c r="C20" s="227">
        <v>0.17983333333333335</v>
      </c>
      <c r="D20" s="227">
        <v>6.8555040667028484</v>
      </c>
      <c r="E20" s="227">
        <v>291.08616775672783</v>
      </c>
      <c r="F20" s="228">
        <v>199.67849840406021</v>
      </c>
      <c r="G20" s="229">
        <v>32.529867055280562</v>
      </c>
      <c r="H20" s="230" t="s">
        <v>383</v>
      </c>
    </row>
    <row r="21" spans="1:8" ht="12.75" customHeight="1" x14ac:dyDescent="0.2">
      <c r="A21" s="219">
        <v>7</v>
      </c>
      <c r="B21" s="220" t="s">
        <v>34</v>
      </c>
      <c r="C21" s="221">
        <v>0.17150000000000001</v>
      </c>
      <c r="D21" s="221">
        <v>5.223043938916363</v>
      </c>
      <c r="E21" s="221">
        <v>278.09369527080958</v>
      </c>
      <c r="F21" s="222">
        <v>152.09515484458697</v>
      </c>
      <c r="G21" s="223">
        <v>33.291527591809484</v>
      </c>
      <c r="H21" s="224" t="s">
        <v>351</v>
      </c>
    </row>
  </sheetData>
  <mergeCells count="1">
    <mergeCell ref="A1:H1"/>
  </mergeCells>
  <pageMargins left="0.50972220000000001" right="0.50972220000000001" top="0.99027779999999999" bottom="0.8" header="0.5" footer="0.5"/>
  <pageSetup fitToHeight="0" orientation="portrait"/>
  <headerFooter alignWithMargins="0">
    <oddHeader>&amp;L&amp;08&amp;"Microsoft Sans Serif"Instrument:{seq.instrument}
Sequence:{seq.name}&amp;R&amp;08&amp;"Microsoft Sans Serif"Page &amp;P of &amp;N</oddHeader>
    <oddFooter>&amp;L&amp;08&amp;"Microsoft Sans Serif"{rdf.name}/&amp;A &amp;R&amp;08&amp;"Microsoft Sans Serif"© 2009-2023 Thermo Fisher Scientific Inc. All rights reserved.
Chromeleon {gen.version}</oddFooter>
    <evenHeader>&amp;L&amp;08&amp;"Microsoft Sans Serif"Instrument:{seq.instrument}
Sequence:{seq.name}&amp;R&amp;08&amp;"Microsoft Sans Serif"Page &amp;P of &amp;N</evenHeader>
    <evenFooter>&amp;L&amp;08&amp;"Microsoft Sans Serif"{rdf.name}/&amp;A &amp;R&amp;08&amp;"Microsoft Sans Serif"© 2009-2023 Thermo Fisher Scientific Inc. All rights reserved.
Chromeleon {gen.version}</even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282"/>
  <sheetViews>
    <sheetView showOutlineSymbols="0" zoomScaleNormal="100" zoomScaleSheetLayoutView="100" workbookViewId="0">
      <selection activeCell="B1" sqref="A1:H1"/>
    </sheetView>
  </sheetViews>
  <sheetFormatPr defaultRowHeight="12.75" customHeight="1" x14ac:dyDescent="0.2"/>
  <cols>
    <col min="2" max="2" width="10.28515625" customWidth="1"/>
    <col min="3" max="3" width="23.5703125" customWidth="1"/>
    <col min="4" max="4" width="16.140625" customWidth="1"/>
    <col min="5" max="5" width="12.140625" customWidth="1"/>
    <col min="6" max="6" width="10.28515625" customWidth="1"/>
    <col min="8" max="8" width="13.5703125" customWidth="1"/>
  </cols>
  <sheetData>
    <row r="1" spans="1:8" ht="21" x14ac:dyDescent="0.2">
      <c r="A1" s="237" t="s">
        <v>384</v>
      </c>
      <c r="B1" s="238"/>
      <c r="C1" s="238"/>
      <c r="D1" s="238"/>
      <c r="E1" s="238"/>
      <c r="F1" s="238"/>
      <c r="G1" s="238"/>
      <c r="H1" s="239"/>
    </row>
    <row r="2" spans="1:8" ht="12.75" customHeight="1" x14ac:dyDescent="0.2">
      <c r="A2" s="5"/>
      <c r="B2" s="6"/>
      <c r="C2" s="6"/>
      <c r="D2" s="6"/>
      <c r="E2" s="6"/>
      <c r="F2" s="6"/>
      <c r="G2" s="6"/>
      <c r="H2" s="7"/>
    </row>
    <row r="3" spans="1:8" s="3" customFormat="1" ht="15.6" customHeight="1" x14ac:dyDescent="0.2">
      <c r="A3" s="8" t="s">
        <v>15</v>
      </c>
      <c r="B3" s="9"/>
      <c r="C3" s="9"/>
      <c r="D3" s="9"/>
      <c r="E3" s="9"/>
      <c r="F3" s="9"/>
      <c r="G3" s="42"/>
      <c r="H3" s="43"/>
    </row>
    <row r="4" spans="1:8" ht="13.9" customHeight="1" x14ac:dyDescent="0.2">
      <c r="A4" s="11" t="s">
        <v>38</v>
      </c>
      <c r="B4" s="12"/>
      <c r="C4" s="130" t="s">
        <v>24</v>
      </c>
      <c r="D4" s="14"/>
      <c r="E4" s="12" t="s">
        <v>40</v>
      </c>
      <c r="F4" s="12"/>
      <c r="G4" s="132">
        <v>0.45</v>
      </c>
      <c r="H4" s="44"/>
    </row>
    <row r="5" spans="1:8" ht="13.9" customHeight="1" x14ac:dyDescent="0.2">
      <c r="A5" s="17" t="s">
        <v>41</v>
      </c>
      <c r="B5" s="18"/>
      <c r="C5" s="136" t="s">
        <v>25</v>
      </c>
      <c r="D5" s="2"/>
      <c r="E5" s="18" t="s">
        <v>42</v>
      </c>
      <c r="F5" s="18"/>
      <c r="G5" s="132">
        <v>2</v>
      </c>
      <c r="H5" s="44"/>
    </row>
    <row r="6" spans="1:8" ht="13.9" customHeight="1" x14ac:dyDescent="0.2">
      <c r="A6" s="17" t="s">
        <v>43</v>
      </c>
      <c r="B6" s="18"/>
      <c r="C6" s="136" t="s">
        <v>26</v>
      </c>
      <c r="D6" s="2"/>
      <c r="E6" s="18" t="s">
        <v>44</v>
      </c>
      <c r="F6" s="18"/>
      <c r="G6" s="136" t="s">
        <v>341</v>
      </c>
      <c r="H6" s="20"/>
    </row>
    <row r="7" spans="1:8" ht="13.9" customHeight="1" x14ac:dyDescent="0.2">
      <c r="A7" s="17" t="s">
        <v>46</v>
      </c>
      <c r="B7" s="18"/>
      <c r="C7" s="136" t="s">
        <v>27</v>
      </c>
      <c r="D7" s="2"/>
      <c r="E7" s="18" t="s">
        <v>47</v>
      </c>
      <c r="F7" s="18"/>
      <c r="G7" s="136">
        <v>244</v>
      </c>
      <c r="H7" s="45"/>
    </row>
    <row r="8" spans="1:8" ht="14.45" customHeight="1" x14ac:dyDescent="0.2">
      <c r="A8" s="17" t="s">
        <v>49</v>
      </c>
      <c r="B8" s="18"/>
      <c r="C8" s="136" t="s">
        <v>343</v>
      </c>
      <c r="D8" s="2"/>
      <c r="E8" s="18" t="s">
        <v>50</v>
      </c>
      <c r="F8" s="18"/>
      <c r="G8" s="136">
        <v>4</v>
      </c>
      <c r="H8" s="20"/>
    </row>
    <row r="9" spans="1:8" s="4" customFormat="1" ht="16.899999999999999" customHeight="1" x14ac:dyDescent="0.2">
      <c r="A9" s="17" t="s">
        <v>51</v>
      </c>
      <c r="B9" s="18"/>
      <c r="C9" s="136" t="s">
        <v>343</v>
      </c>
      <c r="D9" s="2"/>
      <c r="E9" s="18" t="s">
        <v>53</v>
      </c>
      <c r="F9" s="18"/>
      <c r="G9" s="140">
        <v>1</v>
      </c>
      <c r="H9" s="47"/>
    </row>
    <row r="10" spans="1:8" s="4" customFormat="1" ht="12.75" customHeight="1" x14ac:dyDescent="0.2">
      <c r="A10" s="22" t="s">
        <v>54</v>
      </c>
      <c r="B10" s="23"/>
      <c r="C10" s="144">
        <v>44754.551724537036</v>
      </c>
      <c r="D10" s="25"/>
      <c r="E10" s="23" t="s">
        <v>55</v>
      </c>
      <c r="F10" s="23"/>
      <c r="G10" s="146">
        <v>1</v>
      </c>
      <c r="H10" s="50"/>
    </row>
    <row r="11" spans="1:8" s="4" customFormat="1" ht="12.75" customHeight="1" x14ac:dyDescent="0.2">
      <c r="A11" s="231"/>
      <c r="B11" s="231"/>
      <c r="C11" s="232"/>
      <c r="F11" s="231"/>
      <c r="G11" s="231"/>
      <c r="H11" s="233"/>
    </row>
    <row r="12" spans="1:8" ht="13.9" customHeight="1" x14ac:dyDescent="0.2"/>
    <row r="13" spans="1:8" ht="12.75" customHeight="1" x14ac:dyDescent="0.2">
      <c r="A13" s="234" t="s">
        <v>385</v>
      </c>
      <c r="B13" s="234" t="s">
        <v>386</v>
      </c>
      <c r="C13" s="234" t="s">
        <v>387</v>
      </c>
      <c r="D13" s="234"/>
    </row>
    <row r="14" spans="1:8" ht="12.75" customHeight="1" x14ac:dyDescent="0.2">
      <c r="A14" s="235" t="s">
        <v>388</v>
      </c>
      <c r="B14" s="235" t="s">
        <v>67</v>
      </c>
      <c r="C14" s="235"/>
      <c r="D14" s="235"/>
    </row>
    <row r="15" spans="1:8" ht="15" customHeight="1" x14ac:dyDescent="0.2">
      <c r="A15" s="236" t="s">
        <v>389</v>
      </c>
      <c r="B15" s="236" t="s">
        <v>23</v>
      </c>
      <c r="C15" s="236" t="s">
        <v>390</v>
      </c>
      <c r="D15" s="236"/>
    </row>
    <row r="16" spans="1:8" ht="15" customHeight="1" x14ac:dyDescent="0.2">
      <c r="A16" s="236" t="s">
        <v>389</v>
      </c>
      <c r="B16" s="236" t="s">
        <v>23</v>
      </c>
      <c r="C16" s="236" t="s">
        <v>391</v>
      </c>
      <c r="D16" s="236"/>
    </row>
    <row r="17" spans="1:4" ht="15" customHeight="1" x14ac:dyDescent="0.2">
      <c r="A17" s="236" t="s">
        <v>389</v>
      </c>
      <c r="B17" s="236" t="s">
        <v>392</v>
      </c>
      <c r="C17" s="236" t="s">
        <v>393</v>
      </c>
      <c r="D17" s="236"/>
    </row>
    <row r="18" spans="1:4" ht="15" customHeight="1" x14ac:dyDescent="0.2">
      <c r="A18" s="236" t="s">
        <v>389</v>
      </c>
      <c r="B18" s="236" t="s">
        <v>392</v>
      </c>
      <c r="C18" s="236" t="s">
        <v>394</v>
      </c>
      <c r="D18" s="236"/>
    </row>
    <row r="19" spans="1:4" ht="15" customHeight="1" x14ac:dyDescent="0.2">
      <c r="A19" s="236" t="s">
        <v>389</v>
      </c>
      <c r="B19" s="236" t="s">
        <v>392</v>
      </c>
      <c r="C19" s="236" t="s">
        <v>395</v>
      </c>
      <c r="D19" s="236"/>
    </row>
    <row r="20" spans="1:4" ht="15" customHeight="1" x14ac:dyDescent="0.2">
      <c r="A20" s="236" t="s">
        <v>389</v>
      </c>
      <c r="B20" s="236" t="s">
        <v>392</v>
      </c>
      <c r="C20" s="236" t="s">
        <v>396</v>
      </c>
      <c r="D20" s="236"/>
    </row>
    <row r="21" spans="1:4" ht="15" customHeight="1" x14ac:dyDescent="0.2">
      <c r="A21" s="236" t="s">
        <v>389</v>
      </c>
      <c r="B21" s="236" t="s">
        <v>392</v>
      </c>
      <c r="C21" s="236" t="s">
        <v>397</v>
      </c>
      <c r="D21" s="236"/>
    </row>
    <row r="22" spans="1:4" ht="15" customHeight="1" x14ac:dyDescent="0.2">
      <c r="A22" s="236" t="s">
        <v>389</v>
      </c>
      <c r="B22" s="236" t="s">
        <v>392</v>
      </c>
      <c r="C22" s="236" t="s">
        <v>398</v>
      </c>
      <c r="D22" s="236"/>
    </row>
    <row r="23" spans="1:4" ht="15" customHeight="1" x14ac:dyDescent="0.2">
      <c r="A23" s="236" t="s">
        <v>389</v>
      </c>
      <c r="B23" s="236" t="s">
        <v>392</v>
      </c>
      <c r="C23" s="236" t="s">
        <v>399</v>
      </c>
      <c r="D23" s="236"/>
    </row>
    <row r="24" spans="1:4" ht="15" customHeight="1" x14ac:dyDescent="0.2">
      <c r="A24" s="236" t="s">
        <v>389</v>
      </c>
      <c r="B24" s="236" t="s">
        <v>392</v>
      </c>
      <c r="C24" s="236" t="s">
        <v>400</v>
      </c>
      <c r="D24" s="236"/>
    </row>
    <row r="25" spans="1:4" ht="15" customHeight="1" x14ac:dyDescent="0.2">
      <c r="A25" s="236" t="s">
        <v>389</v>
      </c>
      <c r="B25" s="236" t="s">
        <v>392</v>
      </c>
      <c r="C25" s="236" t="s">
        <v>401</v>
      </c>
      <c r="D25" s="236"/>
    </row>
    <row r="26" spans="1:4" ht="15" customHeight="1" x14ac:dyDescent="0.2">
      <c r="A26" s="236" t="s">
        <v>389</v>
      </c>
      <c r="B26" s="236" t="s">
        <v>392</v>
      </c>
      <c r="C26" s="236" t="s">
        <v>402</v>
      </c>
      <c r="D26" s="236"/>
    </row>
    <row r="27" spans="1:4" ht="15" customHeight="1" x14ac:dyDescent="0.2">
      <c r="A27" s="236" t="s">
        <v>389</v>
      </c>
      <c r="B27" s="236" t="s">
        <v>392</v>
      </c>
      <c r="C27" s="236" t="s">
        <v>403</v>
      </c>
      <c r="D27" s="236"/>
    </row>
    <row r="28" spans="1:4" ht="15" customHeight="1" x14ac:dyDescent="0.2">
      <c r="A28" s="236" t="s">
        <v>389</v>
      </c>
      <c r="B28" s="236" t="s">
        <v>392</v>
      </c>
      <c r="C28" s="236" t="s">
        <v>404</v>
      </c>
      <c r="D28" s="236"/>
    </row>
    <row r="29" spans="1:4" ht="15" customHeight="1" x14ac:dyDescent="0.2">
      <c r="A29" s="236" t="s">
        <v>389</v>
      </c>
      <c r="B29" s="236" t="s">
        <v>392</v>
      </c>
      <c r="C29" s="236" t="s">
        <v>405</v>
      </c>
      <c r="D29" s="236"/>
    </row>
    <row r="30" spans="1:4" ht="15" customHeight="1" x14ac:dyDescent="0.2">
      <c r="A30" s="236" t="s">
        <v>389</v>
      </c>
      <c r="B30" s="236" t="s">
        <v>392</v>
      </c>
      <c r="C30" s="236" t="s">
        <v>406</v>
      </c>
      <c r="D30" s="236"/>
    </row>
    <row r="31" spans="1:4" ht="15" customHeight="1" x14ac:dyDescent="0.2">
      <c r="A31" s="236" t="s">
        <v>389</v>
      </c>
      <c r="B31" s="236" t="s">
        <v>392</v>
      </c>
      <c r="C31" s="236" t="s">
        <v>407</v>
      </c>
      <c r="D31" s="236"/>
    </row>
    <row r="32" spans="1:4" ht="15" customHeight="1" x14ac:dyDescent="0.2">
      <c r="A32" s="236" t="s">
        <v>389</v>
      </c>
      <c r="B32" s="236" t="s">
        <v>392</v>
      </c>
      <c r="C32" s="236" t="s">
        <v>408</v>
      </c>
      <c r="D32" s="236"/>
    </row>
    <row r="33" spans="1:4" ht="15" customHeight="1" x14ac:dyDescent="0.2">
      <c r="A33" s="236" t="s">
        <v>389</v>
      </c>
      <c r="B33" s="236" t="s">
        <v>392</v>
      </c>
      <c r="C33" s="236" t="s">
        <v>409</v>
      </c>
      <c r="D33" s="236"/>
    </row>
    <row r="34" spans="1:4" ht="15" customHeight="1" x14ac:dyDescent="0.2">
      <c r="A34" s="236" t="s">
        <v>389</v>
      </c>
      <c r="B34" s="236" t="s">
        <v>392</v>
      </c>
      <c r="C34" s="236" t="s">
        <v>410</v>
      </c>
      <c r="D34" s="236"/>
    </row>
    <row r="35" spans="1:4" ht="15" customHeight="1" x14ac:dyDescent="0.2">
      <c r="A35" s="236" t="s">
        <v>389</v>
      </c>
      <c r="B35" s="236" t="s">
        <v>392</v>
      </c>
      <c r="C35" s="236" t="s">
        <v>411</v>
      </c>
      <c r="D35" s="236"/>
    </row>
    <row r="36" spans="1:4" ht="15" customHeight="1" x14ac:dyDescent="0.2">
      <c r="A36" s="236" t="s">
        <v>389</v>
      </c>
      <c r="B36" s="236" t="s">
        <v>392</v>
      </c>
      <c r="C36" s="236" t="s">
        <v>412</v>
      </c>
      <c r="D36" s="236"/>
    </row>
    <row r="37" spans="1:4" ht="15" customHeight="1" x14ac:dyDescent="0.2">
      <c r="A37" s="236" t="s">
        <v>389</v>
      </c>
      <c r="B37" s="236" t="s">
        <v>392</v>
      </c>
      <c r="C37" s="236" t="s">
        <v>413</v>
      </c>
      <c r="D37" s="236"/>
    </row>
    <row r="38" spans="1:4" ht="15" customHeight="1" x14ac:dyDescent="0.2">
      <c r="A38" s="236" t="s">
        <v>389</v>
      </c>
      <c r="B38" s="236" t="s">
        <v>392</v>
      </c>
      <c r="C38" s="236" t="s">
        <v>414</v>
      </c>
      <c r="D38" s="236"/>
    </row>
    <row r="39" spans="1:4" ht="15" customHeight="1" x14ac:dyDescent="0.2">
      <c r="A39" s="236" t="s">
        <v>389</v>
      </c>
      <c r="B39" s="236" t="s">
        <v>392</v>
      </c>
      <c r="C39" s="236" t="s">
        <v>415</v>
      </c>
      <c r="D39" s="236"/>
    </row>
    <row r="40" spans="1:4" ht="15" customHeight="1" x14ac:dyDescent="0.2">
      <c r="A40" s="236" t="s">
        <v>389</v>
      </c>
      <c r="B40" s="236" t="s">
        <v>392</v>
      </c>
      <c r="C40" s="236" t="s">
        <v>416</v>
      </c>
      <c r="D40" s="236"/>
    </row>
    <row r="41" spans="1:4" ht="15" customHeight="1" x14ac:dyDescent="0.2">
      <c r="A41" s="236" t="s">
        <v>389</v>
      </c>
      <c r="B41" s="236" t="s">
        <v>392</v>
      </c>
      <c r="C41" s="236" t="s">
        <v>417</v>
      </c>
      <c r="D41" s="236"/>
    </row>
    <row r="42" spans="1:4" ht="15" customHeight="1" x14ac:dyDescent="0.2">
      <c r="A42" s="236" t="s">
        <v>389</v>
      </c>
      <c r="B42" s="236" t="s">
        <v>392</v>
      </c>
      <c r="C42" s="236" t="s">
        <v>418</v>
      </c>
      <c r="D42" s="236"/>
    </row>
    <row r="43" spans="1:4" ht="15" customHeight="1" x14ac:dyDescent="0.2">
      <c r="A43" s="236" t="s">
        <v>419</v>
      </c>
      <c r="B43" s="236" t="s">
        <v>392</v>
      </c>
      <c r="C43" s="236" t="s">
        <v>420</v>
      </c>
      <c r="D43" s="236"/>
    </row>
    <row r="44" spans="1:4" ht="15" customHeight="1" x14ac:dyDescent="0.2">
      <c r="A44" s="236" t="s">
        <v>419</v>
      </c>
      <c r="B44" s="236" t="s">
        <v>392</v>
      </c>
      <c r="C44" s="236" t="s">
        <v>421</v>
      </c>
      <c r="D44" s="236"/>
    </row>
    <row r="45" spans="1:4" ht="15" customHeight="1" x14ac:dyDescent="0.2">
      <c r="A45" s="236" t="s">
        <v>419</v>
      </c>
      <c r="B45" s="236" t="s">
        <v>392</v>
      </c>
      <c r="C45" s="236" t="s">
        <v>422</v>
      </c>
      <c r="D45" s="236"/>
    </row>
    <row r="46" spans="1:4" ht="15" customHeight="1" x14ac:dyDescent="0.2">
      <c r="A46" s="236" t="s">
        <v>419</v>
      </c>
      <c r="B46" s="236" t="s">
        <v>392</v>
      </c>
      <c r="C46" s="236" t="s">
        <v>423</v>
      </c>
      <c r="D46" s="236"/>
    </row>
    <row r="47" spans="1:4" ht="15" customHeight="1" x14ac:dyDescent="0.2">
      <c r="A47" s="236" t="s">
        <v>419</v>
      </c>
      <c r="B47" s="236" t="s">
        <v>392</v>
      </c>
      <c r="C47" s="236" t="s">
        <v>424</v>
      </c>
      <c r="D47" s="236"/>
    </row>
    <row r="48" spans="1:4" ht="15" customHeight="1" x14ac:dyDescent="0.2">
      <c r="A48" s="236" t="s">
        <v>419</v>
      </c>
      <c r="B48" s="236" t="s">
        <v>392</v>
      </c>
      <c r="C48" s="236" t="s">
        <v>425</v>
      </c>
      <c r="D48" s="236"/>
    </row>
    <row r="49" spans="1:4" ht="15" customHeight="1" x14ac:dyDescent="0.2">
      <c r="A49" s="236" t="s">
        <v>426</v>
      </c>
      <c r="B49" s="236" t="s">
        <v>392</v>
      </c>
      <c r="C49" s="236" t="s">
        <v>427</v>
      </c>
      <c r="D49" s="236"/>
    </row>
    <row r="50" spans="1:4" ht="15" customHeight="1" x14ac:dyDescent="0.2">
      <c r="A50" s="236" t="s">
        <v>426</v>
      </c>
      <c r="B50" s="236" t="s">
        <v>392</v>
      </c>
      <c r="C50" s="236" t="s">
        <v>428</v>
      </c>
      <c r="D50" s="236"/>
    </row>
    <row r="51" spans="1:4" ht="15" customHeight="1" x14ac:dyDescent="0.2">
      <c r="A51" s="236" t="s">
        <v>426</v>
      </c>
      <c r="B51" s="236" t="s">
        <v>392</v>
      </c>
      <c r="C51" s="236" t="s">
        <v>429</v>
      </c>
      <c r="D51" s="236"/>
    </row>
    <row r="52" spans="1:4" ht="15" customHeight="1" x14ac:dyDescent="0.2">
      <c r="A52" s="236" t="s">
        <v>426</v>
      </c>
      <c r="B52" s="236" t="s">
        <v>392</v>
      </c>
      <c r="C52" s="236" t="s">
        <v>430</v>
      </c>
      <c r="D52" s="236"/>
    </row>
    <row r="53" spans="1:4" ht="15" customHeight="1" x14ac:dyDescent="0.2">
      <c r="A53" s="236" t="s">
        <v>426</v>
      </c>
      <c r="B53" s="236" t="s">
        <v>392</v>
      </c>
      <c r="C53" s="236" t="s">
        <v>431</v>
      </c>
      <c r="D53" s="236"/>
    </row>
    <row r="54" spans="1:4" ht="15" customHeight="1" x14ac:dyDescent="0.2">
      <c r="A54" s="236" t="s">
        <v>426</v>
      </c>
      <c r="B54" s="236" t="s">
        <v>392</v>
      </c>
      <c r="C54" s="236" t="s">
        <v>432</v>
      </c>
      <c r="D54" s="236"/>
    </row>
    <row r="55" spans="1:4" ht="15" customHeight="1" x14ac:dyDescent="0.2">
      <c r="A55" s="236" t="s">
        <v>426</v>
      </c>
      <c r="B55" s="236" t="s">
        <v>392</v>
      </c>
      <c r="C55" s="236" t="s">
        <v>433</v>
      </c>
      <c r="D55" s="236"/>
    </row>
    <row r="56" spans="1:4" ht="15" customHeight="1" x14ac:dyDescent="0.2">
      <c r="A56" s="236" t="s">
        <v>426</v>
      </c>
      <c r="B56" s="236" t="s">
        <v>392</v>
      </c>
      <c r="C56" s="236" t="s">
        <v>434</v>
      </c>
      <c r="D56" s="236"/>
    </row>
    <row r="57" spans="1:4" ht="15" customHeight="1" x14ac:dyDescent="0.2">
      <c r="A57" s="236" t="s">
        <v>426</v>
      </c>
      <c r="B57" s="236" t="s">
        <v>392</v>
      </c>
      <c r="C57" s="236" t="s">
        <v>435</v>
      </c>
      <c r="D57" s="236"/>
    </row>
    <row r="58" spans="1:4" ht="15" customHeight="1" x14ac:dyDescent="0.2">
      <c r="A58" s="236" t="s">
        <v>426</v>
      </c>
      <c r="B58" s="236" t="s">
        <v>392</v>
      </c>
      <c r="C58" s="236" t="s">
        <v>436</v>
      </c>
      <c r="D58" s="236"/>
    </row>
    <row r="59" spans="1:4" ht="15" customHeight="1" x14ac:dyDescent="0.2">
      <c r="A59" s="236" t="s">
        <v>426</v>
      </c>
      <c r="B59" s="236" t="s">
        <v>392</v>
      </c>
      <c r="C59" s="236" t="s">
        <v>437</v>
      </c>
      <c r="D59" s="236"/>
    </row>
    <row r="60" spans="1:4" ht="15" customHeight="1" x14ac:dyDescent="0.2">
      <c r="A60" s="236" t="s">
        <v>426</v>
      </c>
      <c r="B60" s="236" t="s">
        <v>392</v>
      </c>
      <c r="C60" s="236" t="s">
        <v>438</v>
      </c>
      <c r="D60" s="236"/>
    </row>
    <row r="61" spans="1:4" ht="15" customHeight="1" x14ac:dyDescent="0.2">
      <c r="A61" s="236" t="s">
        <v>439</v>
      </c>
      <c r="B61" s="236" t="s">
        <v>440</v>
      </c>
      <c r="C61" s="236" t="s">
        <v>433</v>
      </c>
      <c r="D61" s="236"/>
    </row>
    <row r="62" spans="1:4" ht="15" customHeight="1" x14ac:dyDescent="0.2">
      <c r="A62" s="236" t="s">
        <v>439</v>
      </c>
      <c r="B62" s="236" t="s">
        <v>440</v>
      </c>
      <c r="C62" s="236" t="s">
        <v>441</v>
      </c>
      <c r="D62" s="236"/>
    </row>
    <row r="63" spans="1:4" ht="15" customHeight="1" x14ac:dyDescent="0.2">
      <c r="A63" s="236" t="s">
        <v>439</v>
      </c>
      <c r="B63" s="236" t="s">
        <v>440</v>
      </c>
      <c r="C63" s="236" t="s">
        <v>435</v>
      </c>
      <c r="D63" s="236"/>
    </row>
    <row r="64" spans="1:4" ht="15" customHeight="1" x14ac:dyDescent="0.2">
      <c r="A64" s="236" t="s">
        <v>439</v>
      </c>
      <c r="B64" s="236" t="s">
        <v>440</v>
      </c>
      <c r="C64" s="236" t="s">
        <v>436</v>
      </c>
      <c r="D64" s="236"/>
    </row>
    <row r="65" spans="1:4" ht="15" customHeight="1" x14ac:dyDescent="0.2">
      <c r="A65" s="236" t="s">
        <v>439</v>
      </c>
      <c r="B65" s="236" t="s">
        <v>440</v>
      </c>
      <c r="C65" s="236" t="s">
        <v>437</v>
      </c>
      <c r="D65" s="236"/>
    </row>
    <row r="66" spans="1:4" ht="15" customHeight="1" x14ac:dyDescent="0.2">
      <c r="A66" s="236" t="s">
        <v>442</v>
      </c>
      <c r="B66" s="236" t="s">
        <v>443</v>
      </c>
      <c r="C66" s="236" t="s">
        <v>433</v>
      </c>
      <c r="D66" s="236"/>
    </row>
    <row r="67" spans="1:4" ht="15" customHeight="1" x14ac:dyDescent="0.2">
      <c r="A67" s="236" t="s">
        <v>442</v>
      </c>
      <c r="B67" s="236" t="s">
        <v>443</v>
      </c>
      <c r="C67" s="236" t="s">
        <v>441</v>
      </c>
      <c r="D67" s="236"/>
    </row>
    <row r="68" spans="1:4" ht="15" customHeight="1" x14ac:dyDescent="0.2">
      <c r="A68" s="236" t="s">
        <v>442</v>
      </c>
      <c r="B68" s="236" t="s">
        <v>443</v>
      </c>
      <c r="C68" s="236" t="s">
        <v>435</v>
      </c>
      <c r="D68" s="236"/>
    </row>
    <row r="69" spans="1:4" ht="15" customHeight="1" x14ac:dyDescent="0.2">
      <c r="A69" s="236" t="s">
        <v>442</v>
      </c>
      <c r="B69" s="236" t="s">
        <v>443</v>
      </c>
      <c r="C69" s="236" t="s">
        <v>436</v>
      </c>
      <c r="D69" s="236"/>
    </row>
    <row r="70" spans="1:4" ht="15" customHeight="1" x14ac:dyDescent="0.2">
      <c r="A70" s="236" t="s">
        <v>442</v>
      </c>
      <c r="B70" s="236" t="s">
        <v>443</v>
      </c>
      <c r="C70" s="236" t="s">
        <v>437</v>
      </c>
      <c r="D70" s="236"/>
    </row>
    <row r="71" spans="1:4" ht="15" customHeight="1" x14ac:dyDescent="0.2">
      <c r="A71" s="236" t="s">
        <v>442</v>
      </c>
      <c r="B71" s="236" t="s">
        <v>443</v>
      </c>
      <c r="C71" s="236" t="s">
        <v>444</v>
      </c>
      <c r="D71" s="236"/>
    </row>
    <row r="72" spans="1:4" ht="15" customHeight="1" x14ac:dyDescent="0.2">
      <c r="A72" s="236" t="s">
        <v>442</v>
      </c>
      <c r="B72" s="236" t="s">
        <v>443</v>
      </c>
      <c r="C72" s="236" t="s">
        <v>445</v>
      </c>
      <c r="D72" s="236"/>
    </row>
    <row r="73" spans="1:4" ht="15" customHeight="1" x14ac:dyDescent="0.2">
      <c r="A73" s="236" t="s">
        <v>442</v>
      </c>
      <c r="B73" s="236" t="s">
        <v>443</v>
      </c>
      <c r="C73" s="236" t="s">
        <v>446</v>
      </c>
      <c r="D73" s="236"/>
    </row>
    <row r="74" spans="1:4" ht="15" customHeight="1" x14ac:dyDescent="0.2">
      <c r="A74" s="236" t="s">
        <v>442</v>
      </c>
      <c r="B74" s="236" t="s">
        <v>443</v>
      </c>
      <c r="C74" s="236" t="s">
        <v>447</v>
      </c>
      <c r="D74" s="236"/>
    </row>
    <row r="75" spans="1:4" ht="15" customHeight="1" x14ac:dyDescent="0.2">
      <c r="A75" s="236" t="s">
        <v>442</v>
      </c>
      <c r="B75" s="236" t="s">
        <v>443</v>
      </c>
      <c r="C75" s="236" t="s">
        <v>448</v>
      </c>
      <c r="D75" s="236"/>
    </row>
    <row r="76" spans="1:4" ht="15" customHeight="1" x14ac:dyDescent="0.2">
      <c r="A76" s="236" t="s">
        <v>442</v>
      </c>
      <c r="B76" s="236" t="s">
        <v>449</v>
      </c>
      <c r="C76" s="236" t="s">
        <v>450</v>
      </c>
      <c r="D76" s="236"/>
    </row>
    <row r="77" spans="1:4" ht="15" customHeight="1" x14ac:dyDescent="0.2">
      <c r="A77" s="236" t="s">
        <v>442</v>
      </c>
      <c r="B77" s="236" t="s">
        <v>449</v>
      </c>
      <c r="C77" s="236" t="s">
        <v>451</v>
      </c>
      <c r="D77" s="236"/>
    </row>
    <row r="78" spans="1:4" ht="15" customHeight="1" x14ac:dyDescent="0.2">
      <c r="A78" s="236" t="s">
        <v>442</v>
      </c>
      <c r="B78" s="236" t="s">
        <v>449</v>
      </c>
      <c r="C78" s="236" t="s">
        <v>451</v>
      </c>
      <c r="D78" s="236"/>
    </row>
    <row r="79" spans="1:4" ht="15" customHeight="1" x14ac:dyDescent="0.2">
      <c r="A79" s="236" t="s">
        <v>442</v>
      </c>
      <c r="B79" s="236" t="s">
        <v>449</v>
      </c>
      <c r="C79" s="236" t="s">
        <v>451</v>
      </c>
      <c r="D79" s="236"/>
    </row>
    <row r="80" spans="1:4" ht="15" customHeight="1" x14ac:dyDescent="0.2">
      <c r="A80" s="236" t="s">
        <v>442</v>
      </c>
      <c r="B80" s="236" t="s">
        <v>23</v>
      </c>
      <c r="C80" s="236" t="s">
        <v>452</v>
      </c>
      <c r="D80" s="236"/>
    </row>
    <row r="81" spans="1:4" ht="15" customHeight="1" x14ac:dyDescent="0.2">
      <c r="A81" s="236" t="s">
        <v>442</v>
      </c>
      <c r="B81" s="236" t="s">
        <v>23</v>
      </c>
      <c r="C81" s="236" t="s">
        <v>453</v>
      </c>
      <c r="D81" s="236"/>
    </row>
    <row r="82" spans="1:4" ht="15" customHeight="1" x14ac:dyDescent="0.2">
      <c r="A82" s="236" t="s">
        <v>442</v>
      </c>
      <c r="B82" s="236" t="s">
        <v>23</v>
      </c>
      <c r="C82" s="236" t="s">
        <v>454</v>
      </c>
      <c r="D82" s="236"/>
    </row>
    <row r="83" spans="1:4" ht="12.75" customHeight="1" x14ac:dyDescent="0.2">
      <c r="A83" s="41"/>
      <c r="B83" s="41"/>
      <c r="C83" s="41"/>
      <c r="D83" s="41"/>
    </row>
    <row r="97" customFormat="1" ht="12.75" customHeight="1" x14ac:dyDescent="0.2"/>
    <row r="98" customFormat="1" ht="12.75" customHeight="1" x14ac:dyDescent="0.2"/>
    <row r="99" customFormat="1" ht="12.75" customHeight="1" x14ac:dyDescent="0.2"/>
    <row r="100" customFormat="1" ht="12.75" customHeight="1" x14ac:dyDescent="0.2"/>
    <row r="101" customFormat="1" ht="12.75" customHeight="1" x14ac:dyDescent="0.2"/>
    <row r="102" customFormat="1" ht="12.75" customHeight="1" x14ac:dyDescent="0.2"/>
    <row r="103" customFormat="1" ht="12.75" customHeight="1" x14ac:dyDescent="0.2"/>
    <row r="104" customFormat="1" ht="12.75" customHeight="1" x14ac:dyDescent="0.2"/>
    <row r="105" customFormat="1" ht="12.75" customHeight="1" x14ac:dyDescent="0.2"/>
    <row r="106" customFormat="1" ht="12.75" customHeight="1" x14ac:dyDescent="0.2"/>
    <row r="107" customFormat="1" ht="12.75" customHeight="1" x14ac:dyDescent="0.2"/>
    <row r="108" customFormat="1" ht="12.75" customHeight="1" x14ac:dyDescent="0.2"/>
    <row r="109" customFormat="1" ht="12.75" customHeight="1" x14ac:dyDescent="0.2"/>
    <row r="110" customFormat="1" ht="12.75" customHeight="1" x14ac:dyDescent="0.2"/>
    <row r="111" customFormat="1" ht="12.75" customHeight="1" x14ac:dyDescent="0.2"/>
    <row r="112" customFormat="1" ht="12.75" customHeight="1" x14ac:dyDescent="0.2"/>
    <row r="113" customFormat="1" ht="12.75" customHeight="1" x14ac:dyDescent="0.2"/>
    <row r="114" customFormat="1" ht="12.75" customHeight="1" x14ac:dyDescent="0.2"/>
    <row r="115" customFormat="1" ht="12.75" customHeight="1" x14ac:dyDescent="0.2"/>
    <row r="116" customFormat="1" ht="12.75" customHeight="1" x14ac:dyDescent="0.2"/>
    <row r="117" customFormat="1" ht="12.75" customHeight="1" x14ac:dyDescent="0.2"/>
    <row r="118" customFormat="1" ht="12.75" customHeight="1" x14ac:dyDescent="0.2"/>
    <row r="119" customFormat="1" ht="12.75" customHeight="1" x14ac:dyDescent="0.2"/>
    <row r="120" customFormat="1" ht="12.75" customHeight="1" x14ac:dyDescent="0.2"/>
    <row r="121" customFormat="1" ht="12.75" customHeight="1" x14ac:dyDescent="0.2"/>
    <row r="122" customFormat="1" ht="12.75" customHeight="1" x14ac:dyDescent="0.2"/>
    <row r="123" customFormat="1" ht="12.75" customHeight="1" x14ac:dyDescent="0.2"/>
    <row r="124" customFormat="1" ht="12.75" customHeight="1" x14ac:dyDescent="0.2"/>
    <row r="125" customFormat="1" ht="12.75" customHeight="1" x14ac:dyDescent="0.2"/>
    <row r="126" customFormat="1" ht="12.75" customHeight="1" x14ac:dyDescent="0.2"/>
    <row r="127" customFormat="1" ht="12.75" customHeight="1" x14ac:dyDescent="0.2"/>
    <row r="128" customFormat="1" ht="12.75" customHeight="1" x14ac:dyDescent="0.2"/>
    <row r="129" customFormat="1" ht="12.75" customHeight="1" x14ac:dyDescent="0.2"/>
    <row r="130" customFormat="1" ht="12.75" customHeight="1" x14ac:dyDescent="0.2"/>
    <row r="131" customFormat="1" ht="12.75" customHeight="1" x14ac:dyDescent="0.2"/>
    <row r="132" customFormat="1" ht="12.75" customHeight="1" x14ac:dyDescent="0.2"/>
    <row r="133" customFormat="1" ht="12.75" customHeight="1" x14ac:dyDescent="0.2"/>
    <row r="134" customFormat="1" ht="12.75" customHeight="1" x14ac:dyDescent="0.2"/>
    <row r="135" customFormat="1" ht="12.75" customHeight="1" x14ac:dyDescent="0.2"/>
    <row r="136" customFormat="1" ht="12.75" customHeight="1" x14ac:dyDescent="0.2"/>
    <row r="137" customFormat="1" ht="12.75" customHeight="1" x14ac:dyDescent="0.2"/>
    <row r="138" customFormat="1" ht="12.75" customHeight="1" x14ac:dyDescent="0.2"/>
    <row r="139" customFormat="1" ht="12.75" customHeight="1" x14ac:dyDescent="0.2"/>
    <row r="140" customFormat="1" ht="12.75" customHeight="1" x14ac:dyDescent="0.2"/>
    <row r="141" customFormat="1" ht="12.75" customHeight="1" x14ac:dyDescent="0.2"/>
    <row r="142" customFormat="1" ht="12.75" customHeight="1" x14ac:dyDescent="0.2"/>
    <row r="143" customFormat="1" ht="12.75" customHeight="1" x14ac:dyDescent="0.2"/>
    <row r="144" customFormat="1" ht="12.75" customHeight="1" x14ac:dyDescent="0.2"/>
    <row r="145" customFormat="1" ht="12.75" customHeight="1" x14ac:dyDescent="0.2"/>
    <row r="146" customFormat="1" ht="12.75" customHeight="1" x14ac:dyDescent="0.2"/>
    <row r="147" customFormat="1" ht="12.75" customHeight="1" x14ac:dyDescent="0.2"/>
    <row r="148" customFormat="1" ht="12.75" customHeight="1" x14ac:dyDescent="0.2"/>
    <row r="149" customFormat="1" ht="12.75" customHeight="1" x14ac:dyDescent="0.2"/>
    <row r="150" customFormat="1" ht="12.75" customHeight="1" x14ac:dyDescent="0.2"/>
    <row r="151" customFormat="1" ht="12.75" customHeight="1" x14ac:dyDescent="0.2"/>
    <row r="152" customFormat="1" ht="12.75" customHeight="1" x14ac:dyDescent="0.2"/>
    <row r="153" customFormat="1" ht="12.75" customHeight="1" x14ac:dyDescent="0.2"/>
    <row r="154" customFormat="1" ht="12.75" customHeight="1" x14ac:dyDescent="0.2"/>
    <row r="155" customFormat="1" ht="12.75" customHeight="1" x14ac:dyDescent="0.2"/>
    <row r="156" customFormat="1" ht="12.75" customHeight="1" x14ac:dyDescent="0.2"/>
    <row r="157" customFormat="1" ht="12.75" customHeight="1" x14ac:dyDescent="0.2"/>
    <row r="158" customFormat="1" ht="12.75" customHeight="1" x14ac:dyDescent="0.2"/>
    <row r="159" customFormat="1" ht="12.75" customHeight="1" x14ac:dyDescent="0.2"/>
    <row r="160" customFormat="1" ht="12.75" customHeight="1" x14ac:dyDescent="0.2"/>
    <row r="161" customFormat="1" ht="12.75" customHeight="1" x14ac:dyDescent="0.2"/>
    <row r="162" customFormat="1" ht="12.75" customHeight="1" x14ac:dyDescent="0.2"/>
    <row r="163" customFormat="1" ht="12.75" customHeight="1" x14ac:dyDescent="0.2"/>
    <row r="164" customFormat="1" ht="12.75" customHeight="1" x14ac:dyDescent="0.2"/>
    <row r="165" customFormat="1" ht="12.75" customHeight="1" x14ac:dyDescent="0.2"/>
    <row r="166" customFormat="1" ht="12.75" customHeight="1" x14ac:dyDescent="0.2"/>
    <row r="167" customFormat="1" ht="12.75" customHeight="1" x14ac:dyDescent="0.2"/>
    <row r="168" customFormat="1" ht="12.75" customHeight="1" x14ac:dyDescent="0.2"/>
    <row r="169" customFormat="1" ht="12.75" customHeight="1" x14ac:dyDescent="0.2"/>
    <row r="170" customFormat="1" ht="12.75" customHeight="1" x14ac:dyDescent="0.2"/>
    <row r="171" customFormat="1" ht="12.75" customHeight="1" x14ac:dyDescent="0.2"/>
    <row r="172" customFormat="1" ht="12.75" customHeight="1" x14ac:dyDescent="0.2"/>
    <row r="173" customFormat="1" ht="12.75" customHeight="1" x14ac:dyDescent="0.2"/>
    <row r="174" customFormat="1" ht="12.75" customHeight="1" x14ac:dyDescent="0.2"/>
    <row r="175" customFormat="1" ht="12.75" customHeight="1" x14ac:dyDescent="0.2"/>
    <row r="176" customFormat="1" ht="12.75" customHeight="1" x14ac:dyDescent="0.2"/>
    <row r="177" customFormat="1" ht="12.75" customHeight="1" x14ac:dyDescent="0.2"/>
    <row r="178" customFormat="1" ht="12.75" customHeight="1" x14ac:dyDescent="0.2"/>
    <row r="179" customFormat="1" ht="12.75" customHeight="1" x14ac:dyDescent="0.2"/>
    <row r="180" customFormat="1" ht="12.75" customHeight="1" x14ac:dyDescent="0.2"/>
    <row r="181" customFormat="1" ht="12.75" customHeight="1" x14ac:dyDescent="0.2"/>
    <row r="182" customFormat="1" ht="12.75" customHeight="1" x14ac:dyDescent="0.2"/>
    <row r="183" customFormat="1" ht="12.75" customHeight="1" x14ac:dyDescent="0.2"/>
    <row r="184" customFormat="1" ht="12.75" customHeight="1" x14ac:dyDescent="0.2"/>
    <row r="185" customFormat="1" ht="12.75" customHeight="1" x14ac:dyDescent="0.2"/>
    <row r="186" customFormat="1" ht="12.75" customHeight="1" x14ac:dyDescent="0.2"/>
    <row r="187" customFormat="1" ht="12.75" customHeight="1" x14ac:dyDescent="0.2"/>
    <row r="188" customFormat="1" ht="12.75" customHeight="1" x14ac:dyDescent="0.2"/>
    <row r="189" customFormat="1" ht="12.75" customHeight="1" x14ac:dyDescent="0.2"/>
    <row r="190" customFormat="1" ht="12.75" customHeight="1" x14ac:dyDescent="0.2"/>
    <row r="191" customFormat="1" ht="12.75" customHeight="1" x14ac:dyDescent="0.2"/>
    <row r="192" customFormat="1" ht="12.75" customHeight="1" x14ac:dyDescent="0.2"/>
    <row r="193" customFormat="1" ht="12.75" customHeight="1" x14ac:dyDescent="0.2"/>
    <row r="194" customFormat="1" ht="12.75" customHeight="1" x14ac:dyDescent="0.2"/>
    <row r="195" customFormat="1" ht="12.75" customHeight="1" x14ac:dyDescent="0.2"/>
    <row r="196" customFormat="1" ht="12.75" customHeight="1" x14ac:dyDescent="0.2"/>
    <row r="197" customFormat="1" ht="12.75" customHeight="1" x14ac:dyDescent="0.2"/>
    <row r="198" customFormat="1" ht="12.75" customHeight="1" x14ac:dyDescent="0.2"/>
    <row r="199" customFormat="1" ht="12.75" customHeight="1" x14ac:dyDescent="0.2"/>
    <row r="200" customFormat="1" ht="12.75" customHeight="1" x14ac:dyDescent="0.2"/>
    <row r="201" customFormat="1" ht="12.75" customHeight="1" x14ac:dyDescent="0.2"/>
    <row r="202" customFormat="1" ht="12.75" customHeight="1" x14ac:dyDescent="0.2"/>
    <row r="203" customFormat="1" ht="12.75" customHeight="1" x14ac:dyDescent="0.2"/>
    <row r="204" customFormat="1" ht="12.75" customHeight="1" x14ac:dyDescent="0.2"/>
    <row r="205" customFormat="1" ht="12.75" customHeight="1" x14ac:dyDescent="0.2"/>
    <row r="206" customFormat="1" ht="12.75" customHeight="1" x14ac:dyDescent="0.2"/>
    <row r="207" customFormat="1" ht="12.75" customHeight="1" x14ac:dyDescent="0.2"/>
    <row r="208" customFormat="1" ht="12.75" customHeight="1" x14ac:dyDescent="0.2"/>
    <row r="209" customFormat="1" ht="12.75" customHeight="1" x14ac:dyDescent="0.2"/>
    <row r="210" customFormat="1" ht="12.75" customHeight="1" x14ac:dyDescent="0.2"/>
    <row r="211" customFormat="1" ht="12.75" customHeight="1" x14ac:dyDescent="0.2"/>
    <row r="212" customFormat="1" ht="12.75" customHeight="1" x14ac:dyDescent="0.2"/>
    <row r="213" customFormat="1" ht="12.75" customHeight="1" x14ac:dyDescent="0.2"/>
    <row r="214" customFormat="1" ht="12.75" customHeight="1" x14ac:dyDescent="0.2"/>
    <row r="215" customFormat="1" ht="12.75" customHeight="1" x14ac:dyDescent="0.2"/>
    <row r="216" customFormat="1" ht="12.75" customHeight="1" x14ac:dyDescent="0.2"/>
    <row r="217" customFormat="1" ht="12.75" customHeight="1" x14ac:dyDescent="0.2"/>
    <row r="218" customFormat="1" ht="12.75" customHeight="1" x14ac:dyDescent="0.2"/>
    <row r="219" customFormat="1" ht="12.75" customHeight="1" x14ac:dyDescent="0.2"/>
    <row r="220" customFormat="1" ht="12.75" customHeight="1" x14ac:dyDescent="0.2"/>
    <row r="221" customFormat="1" ht="12.75" customHeight="1" x14ac:dyDescent="0.2"/>
    <row r="222" customFormat="1" ht="12.75" customHeight="1" x14ac:dyDescent="0.2"/>
    <row r="223" customFormat="1" ht="12.75" customHeight="1" x14ac:dyDescent="0.2"/>
    <row r="224" customFormat="1" ht="12.75" customHeight="1" x14ac:dyDescent="0.2"/>
    <row r="225" customFormat="1" ht="12.75" customHeight="1" x14ac:dyDescent="0.2"/>
    <row r="226" customFormat="1" ht="12.75" customHeight="1" x14ac:dyDescent="0.2"/>
    <row r="227" customFormat="1" ht="12.75" customHeight="1" x14ac:dyDescent="0.2"/>
    <row r="228" customFormat="1" ht="12.75" customHeight="1" x14ac:dyDescent="0.2"/>
    <row r="229" customFormat="1" ht="12.75" customHeight="1" x14ac:dyDescent="0.2"/>
    <row r="230" customFormat="1" ht="12.75" customHeight="1" x14ac:dyDescent="0.2"/>
    <row r="231" customFormat="1" ht="12.75" customHeight="1" x14ac:dyDescent="0.2"/>
    <row r="232" customFormat="1" ht="12.75" customHeight="1" x14ac:dyDescent="0.2"/>
    <row r="233" customFormat="1" ht="12.75" customHeight="1" x14ac:dyDescent="0.2"/>
    <row r="234" customFormat="1" ht="12.75" customHeight="1" x14ac:dyDescent="0.2"/>
    <row r="235" customFormat="1" ht="12.75" customHeight="1" x14ac:dyDescent="0.2"/>
    <row r="236" customFormat="1" ht="12.75" customHeight="1" x14ac:dyDescent="0.2"/>
    <row r="237" customFormat="1" ht="12.75" customHeight="1" x14ac:dyDescent="0.2"/>
    <row r="238" customFormat="1" ht="12.75" customHeight="1" x14ac:dyDescent="0.2"/>
    <row r="239" customFormat="1" ht="12.75" customHeight="1" x14ac:dyDescent="0.2"/>
    <row r="240" customFormat="1" ht="12.75" customHeight="1" x14ac:dyDescent="0.2"/>
    <row r="241" customFormat="1" ht="12.75" customHeight="1" x14ac:dyDescent="0.2"/>
    <row r="242" customFormat="1" ht="12.75" customHeight="1" x14ac:dyDescent="0.2"/>
    <row r="243" customFormat="1" ht="12.75" customHeight="1" x14ac:dyDescent="0.2"/>
    <row r="244" customFormat="1" ht="12.75" customHeight="1" x14ac:dyDescent="0.2"/>
    <row r="245" customFormat="1" ht="12.75" customHeight="1" x14ac:dyDescent="0.2"/>
    <row r="246" customFormat="1" ht="12.75" customHeight="1" x14ac:dyDescent="0.2"/>
    <row r="247" customFormat="1" ht="12.75" customHeight="1" x14ac:dyDescent="0.2"/>
    <row r="248" customFormat="1" ht="12.75" customHeight="1" x14ac:dyDescent="0.2"/>
    <row r="249" customFormat="1" ht="12.75" customHeight="1" x14ac:dyDescent="0.2"/>
    <row r="250" customFormat="1" ht="12.75" customHeight="1" x14ac:dyDescent="0.2"/>
    <row r="251" customFormat="1" ht="12.75" customHeight="1" x14ac:dyDescent="0.2"/>
    <row r="252" customFormat="1" ht="12.75" customHeight="1" x14ac:dyDescent="0.2"/>
    <row r="253" customFormat="1" ht="12.75" customHeight="1" x14ac:dyDescent="0.2"/>
    <row r="254" customFormat="1" ht="12.75" customHeight="1" x14ac:dyDescent="0.2"/>
    <row r="255" customFormat="1" ht="12.75" customHeight="1" x14ac:dyDescent="0.2"/>
    <row r="256" customFormat="1" ht="12.75" customHeight="1" x14ac:dyDescent="0.2"/>
    <row r="257" customFormat="1" ht="12.75" customHeight="1" x14ac:dyDescent="0.2"/>
    <row r="258" customFormat="1" ht="12.75" customHeight="1" x14ac:dyDescent="0.2"/>
    <row r="259" customFormat="1" ht="12.75" customHeight="1" x14ac:dyDescent="0.2"/>
    <row r="260" customFormat="1" ht="12.75" customHeight="1" x14ac:dyDescent="0.2"/>
    <row r="261" customFormat="1" ht="12.75" customHeight="1" x14ac:dyDescent="0.2"/>
    <row r="262" customFormat="1" ht="12.75" customHeight="1" x14ac:dyDescent="0.2"/>
    <row r="263" customFormat="1" ht="12.75" customHeight="1" x14ac:dyDescent="0.2"/>
    <row r="264" customFormat="1" ht="12.75" customHeight="1" x14ac:dyDescent="0.2"/>
    <row r="265" customFormat="1" ht="12.75" customHeight="1" x14ac:dyDescent="0.2"/>
    <row r="266" customFormat="1" ht="12.75" customHeight="1" x14ac:dyDescent="0.2"/>
    <row r="267" customFormat="1" ht="12.75" customHeight="1" x14ac:dyDescent="0.2"/>
    <row r="268" customFormat="1" ht="12.75" customHeight="1" x14ac:dyDescent="0.2"/>
    <row r="269" customFormat="1" ht="12.75" customHeight="1" x14ac:dyDescent="0.2"/>
    <row r="270" customFormat="1" ht="12.75" customHeight="1" x14ac:dyDescent="0.2"/>
    <row r="271" customFormat="1" ht="12.75" customHeight="1" x14ac:dyDescent="0.2"/>
    <row r="272" customFormat="1" ht="12.75" customHeight="1" x14ac:dyDescent="0.2"/>
    <row r="273" customFormat="1" ht="12.75" customHeight="1" x14ac:dyDescent="0.2"/>
    <row r="274" customFormat="1" ht="12.75" customHeight="1" x14ac:dyDescent="0.2"/>
    <row r="275" customFormat="1" ht="12.75" customHeight="1" x14ac:dyDescent="0.2"/>
    <row r="276" customFormat="1" ht="12.75" customHeight="1" x14ac:dyDescent="0.2"/>
    <row r="277" customFormat="1" ht="12.75" customHeight="1" x14ac:dyDescent="0.2"/>
    <row r="278" customFormat="1" ht="12.75" customHeight="1" x14ac:dyDescent="0.2"/>
    <row r="279" customFormat="1" ht="12.75" customHeight="1" x14ac:dyDescent="0.2"/>
    <row r="280" customFormat="1" ht="12.75" customHeight="1" x14ac:dyDescent="0.2"/>
    <row r="281" customFormat="1" ht="12.75" customHeight="1" x14ac:dyDescent="0.2"/>
    <row r="282" customFormat="1" ht="12.75" customHeight="1" x14ac:dyDescent="0.2"/>
  </sheetData>
  <mergeCells count="1">
    <mergeCell ref="A1:H1"/>
  </mergeCells>
  <pageMargins left="0.77986109999999997" right="0.50972220000000001" top="0.99027779999999999" bottom="0.8" header="0.5" footer="0.5"/>
  <pageSetup fitToHeight="9" orientation="landscape"/>
  <headerFooter alignWithMargins="0">
    <oddHeader>&amp;L&amp;08&amp;"Microsoft Sans Serif"Instrument:{seq.instrument}   Sequence:{seq.name}&amp;R&amp;08&amp;"Microsoft Sans Serif"Page &amp;P of &amp;N</oddHeader>
    <oddFooter>&amp;L&amp;08&amp;"Microsoft Sans Serif"{rdf.name}/&amp;A &amp;R&amp;08&amp;"Microsoft Sans Serif"© 2009-2023 Thermo Fisher Scientific Inc. All rights reserved.
Chromeleon {gen.version}</oddFooter>
    <evenHeader>&amp;L&amp;08&amp;"Microsoft Sans Serif"Instrument:{seq.instrument}   Sequence:{seq.name}&amp;R&amp;08&amp;"Microsoft Sans Serif"Page &amp;P of &amp;N</evenHeader>
    <evenFooter>&amp;L&amp;08&amp;"Microsoft Sans Serif"{rdf.name}/&amp;A &amp;R&amp;08&amp;"Microsoft Sans Serif"© 2009-2023 Thermo Fisher Scientific Inc. All rights reserved.
Chromeleon {gen.version}</even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8"/>
  <sheetViews>
    <sheetView zoomScaleNormal="100" zoomScaleSheetLayoutView="100" workbookViewId="0">
      <selection sqref="A1:H1"/>
    </sheetView>
  </sheetViews>
  <sheetFormatPr defaultColWidth="9.140625" defaultRowHeight="12.75" customHeight="1" x14ac:dyDescent="0.2"/>
  <cols>
    <col min="1" max="1" width="9.85546875" customWidth="1"/>
    <col min="2" max="2" width="12.5703125" customWidth="1"/>
    <col min="3" max="3" width="11.85546875" customWidth="1"/>
    <col min="4" max="4" width="19.42578125" customWidth="1"/>
    <col min="5" max="5" width="10.42578125" customWidth="1"/>
    <col min="6" max="6" width="10" customWidth="1"/>
    <col min="7" max="7" width="10.140625" customWidth="1"/>
    <col min="8" max="8" width="9.42578125" customWidth="1"/>
  </cols>
  <sheetData>
    <row r="1" spans="1:8" ht="21" x14ac:dyDescent="0.2">
      <c r="A1" s="237" t="s">
        <v>56</v>
      </c>
      <c r="B1" s="238"/>
      <c r="C1" s="238"/>
      <c r="D1" s="238"/>
      <c r="E1" s="238"/>
      <c r="F1" s="238"/>
      <c r="G1" s="238"/>
      <c r="H1" s="239"/>
    </row>
    <row r="2" spans="1:8" ht="12.75" customHeight="1" x14ac:dyDescent="0.2">
      <c r="A2" s="5"/>
      <c r="B2" s="6"/>
      <c r="C2" s="6"/>
      <c r="D2" s="6"/>
      <c r="E2" s="6"/>
      <c r="F2" s="6"/>
      <c r="G2" s="6"/>
      <c r="H2" s="7"/>
    </row>
    <row r="23" ht="12.6" customHeight="1" x14ac:dyDescent="0.2"/>
    <row r="24" ht="12.6" customHeight="1" x14ac:dyDescent="0.2"/>
    <row r="25" ht="12.6" customHeight="1" x14ac:dyDescent="0.2"/>
    <row r="27" ht="16.899999999999999" customHeight="1" x14ac:dyDescent="0.2"/>
    <row r="28" ht="12.6" customHeight="1" x14ac:dyDescent="0.2"/>
  </sheetData>
  <mergeCells count="1">
    <mergeCell ref="A1:H1"/>
  </mergeCells>
  <pageMargins left="0.77986109999999997" right="0.50972220000000001" top="0.99027779999999999" bottom="0.8" header="0.5" footer="0.5"/>
  <pageSetup fitToWidth="0" fitToHeight="0" orientation="portrait"/>
  <headerFooter alignWithMargins="0">
    <oddHeader>&amp;L&amp;08&amp;"Microsoft Sans Serif"Instrument:{seq.instrument}
Sequence:{seq.name}&amp;R&amp;08&amp;"Microsoft Sans Serif"Page &amp;P of &amp;N</oddHeader>
    <oddFooter>&amp;L&amp;08&amp;"Microsoft Sans Serif"{rdf.name}/&amp;A&amp;R&amp;08&amp;"Microsoft Sans Serif"© 2009-2023 Thermo Fisher Scientific Inc. All rights reserved.
Chromeleon {gen.version}</oddFooter>
    <evenHeader>&amp;L&amp;08&amp;"Microsoft Sans Serif"Instrument:{seq.instrument}
Sequence:{seq.name}&amp;R&amp;08&amp;"Microsoft Sans Serif"Page &amp;P of &amp;N</evenHeader>
    <evenFooter>&amp;L&amp;08&amp;"Microsoft Sans Serif"{rdf.name}/&amp;A&amp;R&amp;08&amp;"Microsoft Sans Serif"© 2009-2023 Thermo Fisher Scientific Inc. All rights reserved.
Chromeleon {gen.version}</even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Overview</vt:lpstr>
      <vt:lpstr>Integration</vt:lpstr>
      <vt:lpstr>copy</vt:lpstr>
      <vt:lpstr>Sheet2</vt:lpstr>
      <vt:lpstr>Calibration</vt:lpstr>
      <vt:lpstr>Peak Analysis</vt:lpstr>
      <vt:lpstr>SST</vt:lpstr>
      <vt:lpstr>Summary</vt:lpstr>
      <vt:lpstr>Injection Audit Trail</vt:lpstr>
      <vt:lpstr>Chromatogram</vt:lpstr>
      <vt:lpstr>Calibration!Print_Area</vt:lpstr>
      <vt:lpstr>Summary!Print_Area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Mayer, Michael</dc:creator>
  <cp:lastModifiedBy>Williamson, Ruth (MU-Student)</cp:lastModifiedBy>
  <dcterms:created xsi:type="dcterms:W3CDTF">2020-07-23T19:30:44Z</dcterms:created>
  <dcterms:modified xsi:type="dcterms:W3CDTF">2026-10-14T22:32:19Z</dcterms:modified>
</cp:coreProperties>
</file>