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application/x-msmetafile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wn54\Documents\github_projects\phytoncide_untargeted_targeted\forest_untargeted_results\"/>
    </mc:Choice>
  </mc:AlternateContent>
  <xr:revisionPtr revIDLastSave="0" documentId="13_ncr:1_{9D812B2D-65D7-4E13-A9C5-EB07544FCF35}" xr6:coauthVersionLast="47" xr6:coauthVersionMax="47" xr10:uidLastSave="{00000000-0000-0000-0000-000000000000}"/>
  <bookViews>
    <workbookView xWindow="28680" yWindow="-120" windowWidth="29040" windowHeight="15720" tabRatio="845" firstSheet="1" activeTab="3" autoFilterDateGrouping="0" xr2:uid="{00000000-000D-0000-FFFF-FFFF00000000}"/>
  </bookViews>
  <sheets>
    <sheet name="Overview" sheetId="1" state="hidden" r:id="rId1"/>
    <sheet name="Integration" sheetId="2" r:id="rId2"/>
    <sheet name="copy" sheetId="9" r:id="rId3"/>
    <sheet name="Sheet2" sheetId="10" r:id="rId4"/>
    <sheet name="Calibration" sheetId="3" state="hidden" r:id="rId5"/>
    <sheet name="Peak Analysis" sheetId="4" state="hidden" r:id="rId6"/>
    <sheet name="SST" sheetId="5" state="hidden" r:id="rId7"/>
    <sheet name="Summary" sheetId="6" state="hidden" r:id="rId8"/>
    <sheet name="Injection Audit Trail" sheetId="7" state="hidden" r:id="rId9"/>
    <sheet name="Chromatogram" sheetId="8" state="hidden" r:id="rId10"/>
  </sheets>
  <definedNames>
    <definedName name="_xlnm.Print_Area" localSheetId="4">Calibration!$A:$H</definedName>
    <definedName name="_xlnm.Print_Area" localSheetId="7">Summary!$A:$H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3" i="9" l="1"/>
  <c r="F213" i="9"/>
  <c r="E213" i="9"/>
  <c r="D213" i="9"/>
  <c r="G213" i="2"/>
  <c r="F213" i="2"/>
  <c r="E213" i="2"/>
  <c r="D213" i="2"/>
  <c r="C51" i="5"/>
</calcChain>
</file>

<file path=xl/sharedStrings.xml><?xml version="1.0" encoding="utf-8"?>
<sst xmlns="http://schemas.openxmlformats.org/spreadsheetml/2006/main" count="2302" uniqueCount="456">
  <si>
    <t>Sequence Overview</t>
  </si>
  <si>
    <t>Sequence Details</t>
  </si>
  <si>
    <t>Name:</t>
  </si>
  <si>
    <t>UVDefault</t>
  </si>
  <si>
    <t>Created On:</t>
  </si>
  <si>
    <t>Directory:</t>
  </si>
  <si>
    <t>Default Templates (Reports and View Settings)\Sequence Templates</t>
  </si>
  <si>
    <t>Created By:</t>
  </si>
  <si>
    <t>stefan.polnick</t>
  </si>
  <si>
    <t>Data Vault:</t>
  </si>
  <si>
    <t>Workspace</t>
  </si>
  <si>
    <t>Updated On:</t>
  </si>
  <si>
    <t>No. of Injections:</t>
  </si>
  <si>
    <t>Updated By:</t>
  </si>
  <si>
    <t>PSauter</t>
  </si>
  <si>
    <t>Injection Details</t>
  </si>
  <si>
    <t>No</t>
  </si>
  <si>
    <t>Injection Name</t>
  </si>
  <si>
    <t>Position</t>
  </si>
  <si>
    <t>Type</t>
  </si>
  <si>
    <t xml:space="preserve">Level </t>
  </si>
  <si>
    <t>Inject Time</t>
  </si>
  <si>
    <t>Status</t>
  </si>
  <si>
    <t/>
  </si>
  <si>
    <t>Alkylphenones 1</t>
  </si>
  <si>
    <t>RA1</t>
  </si>
  <si>
    <t>Calibration Standard</t>
  </si>
  <si>
    <t>01</t>
  </si>
  <si>
    <t>Finished</t>
  </si>
  <si>
    <t>Alkylphenones 2</t>
  </si>
  <si>
    <t>Alkylphenones 3</t>
  </si>
  <si>
    <t>Alkylphenones 4</t>
  </si>
  <si>
    <t>Alkylphenones 5</t>
  </si>
  <si>
    <t>Alkylphenones 6</t>
  </si>
  <si>
    <t>Alkylphenones 7</t>
  </si>
  <si>
    <t>RA2</t>
  </si>
  <si>
    <t>Unknown</t>
  </si>
  <si>
    <t>Chromatogram and Results</t>
  </si>
  <si>
    <t>Injection Name:</t>
  </si>
  <si>
    <t>forest_p14_4hr</t>
  </si>
  <si>
    <t>Run Time (min):</t>
  </si>
  <si>
    <t>Vial Number:</t>
  </si>
  <si>
    <t>Injection Volume:</t>
  </si>
  <si>
    <t>Injection Type:</t>
  </si>
  <si>
    <t>Channel:</t>
  </si>
  <si>
    <t>MS Quantitation</t>
  </si>
  <si>
    <t>Calibration Level:</t>
  </si>
  <si>
    <t>Wavelength:</t>
  </si>
  <si>
    <t>n.a.</t>
  </si>
  <si>
    <t>Instrument Method:</t>
  </si>
  <si>
    <t>Bandwidth:</t>
  </si>
  <si>
    <t>Processing Method:</t>
  </si>
  <si>
    <t>p14_forest_4hr_UT</t>
  </si>
  <si>
    <t>Dilution Factor:</t>
  </si>
  <si>
    <t>Injection Date/Time:</t>
  </si>
  <si>
    <t>Sample Weight:</t>
  </si>
  <si>
    <t>Chromatogram</t>
  </si>
  <si>
    <t>Integration Results</t>
  </si>
  <si>
    <t>No.</t>
  </si>
  <si>
    <t>Peakname</t>
  </si>
  <si>
    <t>RetentionTime</t>
  </si>
  <si>
    <t>Area</t>
  </si>
  <si>
    <t>Height</t>
  </si>
  <si>
    <t>Relative Area</t>
  </si>
  <si>
    <t xml:space="preserve">Rel.Height </t>
  </si>
  <si>
    <t xml:space="preserve">CAS </t>
  </si>
  <si>
    <t xml:space="preserve">Chem.Formula </t>
  </si>
  <si>
    <t>min</t>
  </si>
  <si>
    <t>counts*min</t>
  </si>
  <si>
    <t>counts</t>
  </si>
  <si>
    <t>%</t>
  </si>
  <si>
    <t>MS Quantitation Peak</t>
  </si>
  <si>
    <t>Bicyclo[3.2.1]octane, 2,4-dimethoxy-</t>
  </si>
  <si>
    <t>79692-84-5</t>
  </si>
  <si>
    <t>C10H18O2</t>
  </si>
  <si>
    <t>Isoprene</t>
  </si>
  <si>
    <t>78-79-5</t>
  </si>
  <si>
    <t>C5H8</t>
  </si>
  <si>
    <t>Butane, 1,1,2,3,4,4-hexachloro-1,2,3,4-tetrafluoro-</t>
  </si>
  <si>
    <t>375-43-9</t>
  </si>
  <si>
    <t>C4Cl6F4</t>
  </si>
  <si>
    <t>2-Ethyl-3-methylthiirane 1,1-dioxide</t>
  </si>
  <si>
    <t>C5H10O2S</t>
  </si>
  <si>
    <t>1-Pentanol</t>
  </si>
  <si>
    <t>71-41-0</t>
  </si>
  <si>
    <t>C5H12O</t>
  </si>
  <si>
    <t>N-(diethylcarbamothioyl)benzamide</t>
  </si>
  <si>
    <t>C12H16N2OS</t>
  </si>
  <si>
    <t>rac-1-Benzoyl-1,3,3a,6,7,7a-hexahydro-3-methyl-2H-indol-2-one</t>
  </si>
  <si>
    <t>C16H17NO2</t>
  </si>
  <si>
    <t>Tricyclo[2.2.1.0(2,6)]heptan-3-ol, 1-(chloromethyl)-7-methylene-</t>
  </si>
  <si>
    <t>66728-04-9</t>
  </si>
  <si>
    <t>C9H11ClO</t>
  </si>
  <si>
    <t>4α-tert-Butyl-1α,7β,8α-trihydro-2β-methyl-4β-(deuteriomethyl)-3,</t>
  </si>
  <si>
    <t>C18H29DO5</t>
  </si>
  <si>
    <t>(1R,2S)-1-phenyl-2-(propylamino)-1-propanol</t>
  </si>
  <si>
    <t>C12H19NO</t>
  </si>
  <si>
    <t>Benzyl (E)-1-hex-1-enyl sulfoxide</t>
  </si>
  <si>
    <t>C13H18OS</t>
  </si>
  <si>
    <t>[(2R,3S,4R,5S)-3,4-bis(oxidanyl)-5-(8-phenylmethoxy-[1,2,4]triaz</t>
  </si>
  <si>
    <t>C24H22N4O6</t>
  </si>
  <si>
    <t>2,2-bis(fluoranyl)-4-iodanyl-1-phenyl-4-trimethylsilyl-butan-1-o</t>
  </si>
  <si>
    <t>C13H17F2IOSi</t>
  </si>
  <si>
    <t>2-Methylallyl N,N-Dimethylselenocarbamate</t>
  </si>
  <si>
    <t>C7H13NOSe</t>
  </si>
  <si>
    <t>Cyclotrisiloxane, hexamethyl-</t>
  </si>
  <si>
    <t>541-05-9</t>
  </si>
  <si>
    <t>C6H18O3Si3</t>
  </si>
  <si>
    <t>Dimethylsilyloxy-dimethyl-trimethylsilyloxy-silane</t>
  </si>
  <si>
    <t>C7H22O2Si3</t>
  </si>
  <si>
    <t>2-(4-Methylphenyl)-1H-indole</t>
  </si>
  <si>
    <t>55577-25-8</t>
  </si>
  <si>
    <t>C15H13N</t>
  </si>
  <si>
    <t>Chromium, tricarbonyl[3-hydroxy-3-[(1,2,3,4,5,6-η)-2-methoxyphen</t>
  </si>
  <si>
    <t>130293-33-3</t>
  </si>
  <si>
    <t>C19H16CrO6</t>
  </si>
  <si>
    <t>(E)-3-(2-Bromophenyl)-1-phenylprop-2-en-1-one</t>
  </si>
  <si>
    <t>C15H11BrO</t>
  </si>
  <si>
    <t>1-Chloranyl-3-(trifluoromethyl)benzene</t>
  </si>
  <si>
    <t>98-15-7</t>
  </si>
  <si>
    <t>C7H4ClF3</t>
  </si>
  <si>
    <t>o-Xylene</t>
  </si>
  <si>
    <t>95-47-6</t>
  </si>
  <si>
    <t>C8H10</t>
  </si>
  <si>
    <t>2-[4-Hydroxy-4-phenyl-3-(1-phenylethyl)-2-thioxo-1,3-thiazolan-5</t>
  </si>
  <si>
    <t>C25H21NO2S2</t>
  </si>
  <si>
    <t>(R)-2-(Benzoyloxy)-3-benzyloxypropanenitrile</t>
  </si>
  <si>
    <t>C17H15NO3</t>
  </si>
  <si>
    <t>Phenylethyne</t>
  </si>
  <si>
    <t>536-74-3</t>
  </si>
  <si>
    <t>C8H6</t>
  </si>
  <si>
    <t>3-[(Benzoylmethylamino)hexyl)-thiazolidine</t>
  </si>
  <si>
    <t>C17H26N2S</t>
  </si>
  <si>
    <t>cyclopentyl-[(1S)-1-phenylethyl]amine</t>
  </si>
  <si>
    <t>C13H19N</t>
  </si>
  <si>
    <t>3,4-dimethyl-Heptane</t>
  </si>
  <si>
    <t>C9H20</t>
  </si>
  <si>
    <t>3-Benzoyl-5-methylthiamethyl-4,5-dihydroisoxazole</t>
  </si>
  <si>
    <t>C12H13NO2S</t>
  </si>
  <si>
    <t>1-Phenyl-2-((1R,4R)-4,5,5-trimethylcyclopent-2-en-1-yl)ethan-1-o</t>
  </si>
  <si>
    <t>C16H20O</t>
  </si>
  <si>
    <t>N-(2-Methylbenzenesulfinyl)-benzamide</t>
  </si>
  <si>
    <t>C14H13NO2S</t>
  </si>
  <si>
    <t>1-(4-Cyanophenyl)-2-phenylethane-1,2-dione</t>
  </si>
  <si>
    <t>C15H9NO2</t>
  </si>
  <si>
    <t>3-Benzamido-5-phenyl-1,2,3-triazole-4-carboxylic acid</t>
  </si>
  <si>
    <t>113631-70-2</t>
  </si>
  <si>
    <t>C16H12N4O3</t>
  </si>
  <si>
    <t>2,4-Diphenyl-2-oxazolin-5-one</t>
  </si>
  <si>
    <t>28687-81-2</t>
  </si>
  <si>
    <t>C15H11NO2</t>
  </si>
  <si>
    <t>1-Benzoyloxy-3-isobutyl-7,8-dihydro-6H-pyrrol1o[1,2-a]pyrazine-4</t>
  </si>
  <si>
    <t>C18H20N2O3</t>
  </si>
  <si>
    <t>Benzaldehyde</t>
  </si>
  <si>
    <t>100-52-7</t>
  </si>
  <si>
    <t>C7H6O</t>
  </si>
  <si>
    <t>Cyclotetrasiloxane, octamethyl-</t>
  </si>
  <si>
    <t>556-67-2</t>
  </si>
  <si>
    <t>C8H24O4Si4</t>
  </si>
  <si>
    <t>2-((5S,7aS)-2,2,7,7-Tetramethyl-7a-phenyl-5-(phenylhio)tetrahydr</t>
  </si>
  <si>
    <t>C24H26N2OS</t>
  </si>
  <si>
    <t>3-Phenyl-6-trimethylsilyl-pyrazolo[1,5-a]pyridine quinone-2,5</t>
  </si>
  <si>
    <t>103240-21-7</t>
  </si>
  <si>
    <t>C16H16N2O2Si</t>
  </si>
  <si>
    <t>(trans-anti)-bis[ 1-Phenyl-4-( 1'-phenylethyl)-4,5-dihydro-1H-1,</t>
  </si>
  <si>
    <t>C32H30I2N6Pd</t>
  </si>
  <si>
    <t>2,3-bis(Benzamido)-2-methylpropanoic acid</t>
  </si>
  <si>
    <t>C18H18N2O4</t>
  </si>
  <si>
    <t>2-Ethyl-1,1-difluoro-3,3-dimethylcyclopropane</t>
  </si>
  <si>
    <t>C7H12F2</t>
  </si>
  <si>
    <t>(2R*,3aR*,6aR*)-2-tert-Butyl-2,3a,4,6a-tetrahydro-3a-phenyl-4-ox</t>
  </si>
  <si>
    <t>C21H22O4</t>
  </si>
  <si>
    <t>2-Ethoxycarbonyl-4,9-dihydro-3-methyl-1-phenylpyrrolo[1,2-b]isoq</t>
  </si>
  <si>
    <t>C22H21NO2</t>
  </si>
  <si>
    <t>1,2-Bis-methoxymethyl-benzene</t>
  </si>
  <si>
    <t>C10H14O2</t>
  </si>
  <si>
    <t>(Z)-3-(3'-Hydroxyphenyl)-1,1-diphenylprop-2-en-1-ol</t>
  </si>
  <si>
    <t>C21H18O2</t>
  </si>
  <si>
    <t>Ethanone, 2-bicyclo[2.2.1]hepta-2,5-dien-7-yl-1-phenyl-</t>
  </si>
  <si>
    <t>74597-12-9</t>
  </si>
  <si>
    <t>C15H14O</t>
  </si>
  <si>
    <t>Benzeneacetaldehyde</t>
  </si>
  <si>
    <t>122-78-1</t>
  </si>
  <si>
    <t>C8H8O</t>
  </si>
  <si>
    <t>(E,E)-1-[(S)-2'-Methoxy-2'-phenylacetoxy]-1,3-hexadiene</t>
  </si>
  <si>
    <t>67177-15-5</t>
  </si>
  <si>
    <t>C15H18O3</t>
  </si>
  <si>
    <t>2,4-Difluorophenyl Benzoate</t>
  </si>
  <si>
    <t>C13H8F2O2</t>
  </si>
  <si>
    <t>Benzenecarbothioic acid</t>
  </si>
  <si>
    <t>98-91-9</t>
  </si>
  <si>
    <t>C7H6OS</t>
  </si>
  <si>
    <t>Acetophenone</t>
  </si>
  <si>
    <t>98-86-2</t>
  </si>
  <si>
    <t>Ethanone, 2,2-dihydroxy-1-phenyl-</t>
  </si>
  <si>
    <t>1075-06-5</t>
  </si>
  <si>
    <t>C8H8O3</t>
  </si>
  <si>
    <t>(3-Methyl-4H-1,4-benzothiazin-2-yl)(phenyl)methanone</t>
  </si>
  <si>
    <t>C16H13NOS</t>
  </si>
  <si>
    <t>Ethyl 2-(cyclohepta-2,4,6-trien-1-yl)-3-oxo-3-phenylpropanoate</t>
  </si>
  <si>
    <t>C18H18O3</t>
  </si>
  <si>
    <t>3-Phenyl-5-propenyl-[1,4,2]dioxazole</t>
  </si>
  <si>
    <t>C11H11NO2</t>
  </si>
  <si>
    <t>Nonanal</t>
  </si>
  <si>
    <t>124-19-6</t>
  </si>
  <si>
    <t>C9H18O</t>
  </si>
  <si>
    <t>Cyclopentasiloxane, decamethyl-</t>
  </si>
  <si>
    <t>541-02-6</t>
  </si>
  <si>
    <t>C10H30O5Si5</t>
  </si>
  <si>
    <t>Benzoic acid</t>
  </si>
  <si>
    <t>65-85-0</t>
  </si>
  <si>
    <t>C7H6O2</t>
  </si>
  <si>
    <t>Pyrido[1,2-a]azepine-6,7,8,9-tetracarboxylic acid, 10-(benzoylox</t>
  </si>
  <si>
    <t>71127-22-5</t>
  </si>
  <si>
    <t>C25H23NO10</t>
  </si>
  <si>
    <t>Bicyclo[3.1.0]hexan-2-one, 5-(1-methylethyl)-</t>
  </si>
  <si>
    <t>513-20-2</t>
  </si>
  <si>
    <t>C9H14O</t>
  </si>
  <si>
    <t>N'-methylbenzohydrazide</t>
  </si>
  <si>
    <t>1660-24-8</t>
  </si>
  <si>
    <t>C8H10N2O</t>
  </si>
  <si>
    <t>3-Phenyl-1,4,2-dioxazol-5-one</t>
  </si>
  <si>
    <t>C8H5NO3</t>
  </si>
  <si>
    <t>(3R*,4aR*,7aR*)-3-tert-Butyl-3,4a,7,7a-tetrahydro-6,7a-diphenyl-</t>
  </si>
  <si>
    <t>Decanal</t>
  </si>
  <si>
    <t>112-31-2</t>
  </si>
  <si>
    <t>C10H20O</t>
  </si>
  <si>
    <t>Methyl salicylate</t>
  </si>
  <si>
    <t>119-36-8</t>
  </si>
  <si>
    <t>Benzoic acid, 2-formyl-</t>
  </si>
  <si>
    <t>119-67-5</t>
  </si>
  <si>
    <t>C8H6O3</t>
  </si>
  <si>
    <t>Acetic acid, phenyl-</t>
  </si>
  <si>
    <t>103-82-2</t>
  </si>
  <si>
    <t>C8H8O2</t>
  </si>
  <si>
    <t>(2-nitroanilino) benzoate</t>
  </si>
  <si>
    <t>127526-86-7</t>
  </si>
  <si>
    <t>C13H10N2O4</t>
  </si>
  <si>
    <t>Methyl 2-benzamido-1,2,3,4-tetrahydronaphthalene-2-carboxylate</t>
  </si>
  <si>
    <t>C19H19NO3</t>
  </si>
  <si>
    <t>2-Coumaranone</t>
  </si>
  <si>
    <t>553-86-6</t>
  </si>
  <si>
    <t>C8H6O2</t>
  </si>
  <si>
    <t>Ethanone, 2-bromo-1-phenyl-</t>
  </si>
  <si>
    <t>70-11-1</t>
  </si>
  <si>
    <t>C8H7BrO</t>
  </si>
  <si>
    <t>Benzene, (1-bromo-3-methylbutyl-4-13C)-</t>
  </si>
  <si>
    <t>65128-29-2</t>
  </si>
  <si>
    <t>C11H15Br</t>
  </si>
  <si>
    <t>3-Ethoxycarbonyl-4-methylisoxazol-5-yl benzoate</t>
  </si>
  <si>
    <t>C14H13NO5</t>
  </si>
  <si>
    <t>N-(tert-Butyl)-2-(4-nitrophenyl)-4H-3,1-benzoxazine-4-carboxamid</t>
  </si>
  <si>
    <t>C19H19N3O4</t>
  </si>
  <si>
    <t>Salicylic acid</t>
  </si>
  <si>
    <t>69-72-7</t>
  </si>
  <si>
    <t>C7H6O3</t>
  </si>
  <si>
    <t>Cyclohexasiloxane, dodecamethyl-</t>
  </si>
  <si>
    <t>540-97-6</t>
  </si>
  <si>
    <t>C12H36O6Si6</t>
  </si>
  <si>
    <t>Benzaldehyde, 2,4,5-trimethyl-</t>
  </si>
  <si>
    <t>5779-72-6</t>
  </si>
  <si>
    <t>C10H12O</t>
  </si>
  <si>
    <t>2-(2-Hydroxyethoxy)benzoic acid</t>
  </si>
  <si>
    <t>55211-84-2</t>
  </si>
  <si>
    <t>C9H10O4</t>
  </si>
  <si>
    <t>Phthalic anhydride</t>
  </si>
  <si>
    <t>85-44-9</t>
  </si>
  <si>
    <t>C8H4O3</t>
  </si>
  <si>
    <t>1,2-Bis(benzoylmethylene)adamantane</t>
  </si>
  <si>
    <t>C26H28O2</t>
  </si>
  <si>
    <t>1(3H)-Isobenzofuranone</t>
  </si>
  <si>
    <t>87-41-2</t>
  </si>
  <si>
    <t>5-(Ethoxycarbonyl)-7-[(4-methylphenyl)amino]thieno[3,2-d][1,3]di</t>
  </si>
  <si>
    <t>C17H17N3O2S</t>
  </si>
  <si>
    <t>Benzoylformic acid</t>
  </si>
  <si>
    <t>611-73-4</t>
  </si>
  <si>
    <t>3-octyl-1,1,1,3,5,5,5-heptamethyltrisiloxane</t>
  </si>
  <si>
    <t>C15H38O2Si3</t>
  </si>
  <si>
    <t>Acetic acid hepta-3,6-diynyl ester</t>
  </si>
  <si>
    <t>C9H10O2</t>
  </si>
  <si>
    <t>Vinyl benzhydryl sulfide</t>
  </si>
  <si>
    <t>54663-82-0</t>
  </si>
  <si>
    <t>C15H14S</t>
  </si>
  <si>
    <t>(10E)-3-((E)-4,8-dimethylnona-3,7-dien-1-yl)-N,N-diethyl-11,15-d</t>
  </si>
  <si>
    <t>C34H59N</t>
  </si>
  <si>
    <t>Heptasiloxane, hexadecamethyl-</t>
  </si>
  <si>
    <t>541-01-5</t>
  </si>
  <si>
    <t>C16H48O6Si7</t>
  </si>
  <si>
    <t>Phenylmaleic anhydride</t>
  </si>
  <si>
    <t>36122-35-7</t>
  </si>
  <si>
    <t>C10H6O3</t>
  </si>
  <si>
    <t>4-Methoxy-1,2-naphthoquinone</t>
  </si>
  <si>
    <t>18916-57-9</t>
  </si>
  <si>
    <t>C11H8O3</t>
  </si>
  <si>
    <t>Heptasiloxane, 1,1,3,3,5,5,7,7,9,9,11,11,13,13-tetradecamethyl-</t>
  </si>
  <si>
    <t>19095-23-9</t>
  </si>
  <si>
    <t>C14H44O6Si7</t>
  </si>
  <si>
    <t>4-Cyclopentene-1,3-dione, 4-phenyl-</t>
  </si>
  <si>
    <t>51306-96-8</t>
  </si>
  <si>
    <t>C11H8O2</t>
  </si>
  <si>
    <t>Benzophenone</t>
  </si>
  <si>
    <t>119-61-9</t>
  </si>
  <si>
    <t>C13H10O</t>
  </si>
  <si>
    <t>7-oxohyocholic acid methyl ester</t>
  </si>
  <si>
    <t>C25H40O5</t>
  </si>
  <si>
    <t>Hyocholic acid methylester</t>
  </si>
  <si>
    <t>C25H42O5</t>
  </si>
  <si>
    <t>1,1,1,3,3,5,5,7,7,9,9,11,11,13,13,15,15,15-octadecamethyloctasil</t>
  </si>
  <si>
    <t>556-69-4</t>
  </si>
  <si>
    <t>C18H54O7Si8</t>
  </si>
  <si>
    <t>2-(tert.-Butyldimethylsilyl)oxybenzylidene acetophenone</t>
  </si>
  <si>
    <t>C21H26O2Si</t>
  </si>
  <si>
    <t>Octasiloxane, 1,1,3,3,5,5,7,7,9,9,11,11,13,13,15,15-hexadecameth</t>
  </si>
  <si>
    <t>19095-24-0</t>
  </si>
  <si>
    <t>C16H50O7Si8</t>
  </si>
  <si>
    <t>Hexasiloxane, 1,1,3,3,5,5,7,7,9,9,11,11-dodecamethyl-</t>
  </si>
  <si>
    <t>995-82-4</t>
  </si>
  <si>
    <t>C12H38O5Si6</t>
  </si>
  <si>
    <t>Total:</t>
  </si>
  <si>
    <t>Calibration</t>
  </si>
  <si>
    <t>Calibration Details</t>
  </si>
  <si>
    <t>Acetanilide</t>
  </si>
  <si>
    <t>Calibration Type</t>
  </si>
  <si>
    <t>Lin, WithOffset</t>
  </si>
  <si>
    <t>Offset (C0)</t>
  </si>
  <si>
    <t>Evaluation Type</t>
  </si>
  <si>
    <t>Slope (C1)</t>
  </si>
  <si>
    <t>Number of Calibration Points</t>
  </si>
  <si>
    <t>Curve (C2)</t>
  </si>
  <si>
    <t>Number of disabled Calibration Points</t>
  </si>
  <si>
    <t>R-Square</t>
  </si>
  <si>
    <t>Calibration Plot</t>
  </si>
  <si>
    <t>Calibration Results</t>
  </si>
  <si>
    <t xml:space="preserve">No. </t>
  </si>
  <si>
    <t xml:space="preserve">X Value </t>
  </si>
  <si>
    <t xml:space="preserve">Y Value </t>
  </si>
  <si>
    <t xml:space="preserve">Residual </t>
  </si>
  <si>
    <t xml:space="preserve">Area </t>
  </si>
  <si>
    <t xml:space="preserve">Height </t>
  </si>
  <si>
    <t>ng</t>
  </si>
  <si>
    <t>mAU*min</t>
  </si>
  <si>
    <t>mAU</t>
  </si>
  <si>
    <t>UV_VIS_1</t>
  </si>
  <si>
    <t>Peak Analysis</t>
  </si>
  <si>
    <t>CM_OQ</t>
  </si>
  <si>
    <t>Peak Results</t>
  </si>
  <si>
    <t>Ret.Time</t>
  </si>
  <si>
    <t>Width (50%)</t>
  </si>
  <si>
    <t xml:space="preserve">Type </t>
  </si>
  <si>
    <t>Resolution (EP)</t>
  </si>
  <si>
    <t>Asymmetry (EP)</t>
  </si>
  <si>
    <t>Plates (EP)</t>
  </si>
  <si>
    <t xml:space="preserve"> M </t>
  </si>
  <si>
    <t xml:space="preserve"> MB</t>
  </si>
  <si>
    <t>Propiophenone</t>
  </si>
  <si>
    <t>Chromatogram and SST Results</t>
  </si>
  <si>
    <t>SST Results</t>
  </si>
  <si>
    <t>Name</t>
  </si>
  <si>
    <t>Inj.Condition</t>
  </si>
  <si>
    <t xml:space="preserve">Peak </t>
  </si>
  <si>
    <t xml:space="preserve">Test Result </t>
  </si>
  <si>
    <t xml:space="preserve">Name </t>
  </si>
  <si>
    <t>System Suitability Test Case 1</t>
  </si>
  <si>
    <t>All Injections</t>
  </si>
  <si>
    <t>Number: 2</t>
  </si>
  <si>
    <t>Not Executed</t>
  </si>
  <si>
    <t>System Suitability Test Case 2</t>
  </si>
  <si>
    <t>injection.name starts with "Alkylphenones"</t>
  </si>
  <si>
    <t>System Suitability Test Case 3</t>
  </si>
  <si>
    <t>(injection.number&gt;=1 AND injection.number&lt;=7)</t>
  </si>
  <si>
    <t>Highest: peak.area</t>
  </si>
  <si>
    <t>System Suitability Test Case 4</t>
  </si>
  <si>
    <t>All Identified Peaks</t>
  </si>
  <si>
    <t>System Suitability Test Case 5</t>
  </si>
  <si>
    <t>injection.position = RC9</t>
  </si>
  <si>
    <t>System Suitability Test Case 6</t>
  </si>
  <si>
    <t>Injection Type: Unknown</t>
  </si>
  <si>
    <t xml:space="preserve">Number of executed test cases: </t>
  </si>
  <si>
    <t xml:space="preserve">Total Result: </t>
  </si>
  <si>
    <t>Summary</t>
  </si>
  <si>
    <t>By Component</t>
  </si>
  <si>
    <t xml:space="preserve">Amount </t>
  </si>
  <si>
    <t xml:space="preserve">Rel.Area </t>
  </si>
  <si>
    <t xml:space="preserve">Peak Type </t>
  </si>
  <si>
    <t xml:space="preserve">BM </t>
  </si>
  <si>
    <t>Injection Audit Trail</t>
  </si>
  <si>
    <t>Day Time</t>
  </si>
  <si>
    <t>Ret. Time</t>
  </si>
  <si>
    <t>Command/Message</t>
  </si>
  <si>
    <t>(UTC+02:00)</t>
  </si>
  <si>
    <t>13:14:22</t>
  </si>
  <si>
    <t>Audit trail of injection "chrom://deger-6fwtxt2/Workspace/OQ/Station Qual 2022-07-12.seq/515.smp". Executed 7/12/2022 on instrument CM_OQ (instrument controller DEGER-6FWTXT2).</t>
  </si>
  <si>
    <t xml:space="preserve">Start of injection 1 "Alkylphenones 1", using instrument method "CM_OQ". </t>
  </si>
  <si>
    <t>0.000</t>
  </si>
  <si>
    <t xml:space="preserve">Entered stage "Instrument Setup" </t>
  </si>
  <si>
    <t xml:space="preserve">UV.3DFIELD.MinWavelength = 190.0 nm </t>
  </si>
  <si>
    <t xml:space="preserve">UV.3DFIELD.MaxWavelength = 350.0 nm </t>
  </si>
  <si>
    <t xml:space="preserve">UV.3DFIELD.BunchWidth = 1 nm </t>
  </si>
  <si>
    <t xml:space="preserve">UV.ResponseTime = 0.030 s </t>
  </si>
  <si>
    <t xml:space="preserve">UV.Data_Collection_Rate = 100 Hz </t>
  </si>
  <si>
    <t xml:space="preserve">ColumnOven.Temperature.Nominal = 20.0 °C </t>
  </si>
  <si>
    <t xml:space="preserve">PumpModule.Pump.%A.Equate = "Water" </t>
  </si>
  <si>
    <t xml:space="preserve">PumpModule.Pump.%B.Equate = "Acetonitrile" </t>
  </si>
  <si>
    <t xml:space="preserve">PumpModule.Pump.%C.Equate = "%C" </t>
  </si>
  <si>
    <t xml:space="preserve">PumpModule.Pump.%D.Equate = "%D" </t>
  </si>
  <si>
    <t xml:space="preserve">PumpModule.Pump.Pressure.LowerLimit = 0 bar </t>
  </si>
  <si>
    <t xml:space="preserve">PumpModule.Pump.Pressure.UpperLimit = 800 bar </t>
  </si>
  <si>
    <t xml:space="preserve">UV.UV_VIS_1.Wavelength = 244.0 nm </t>
  </si>
  <si>
    <t xml:space="preserve">UV.UV_VIS_1.Bandwidth = 4 nm </t>
  </si>
  <si>
    <t xml:space="preserve">UV.UV_VIS_1.RefWavelength = Off </t>
  </si>
  <si>
    <t xml:space="preserve">UV.UV_VIS_1.RefBandwidth = 1 nm </t>
  </si>
  <si>
    <t xml:space="preserve">UV.3DFIELD.RefWavelength = Off </t>
  </si>
  <si>
    <t xml:space="preserve">UV.3DFIELD.RefBandwidth = 1 nm </t>
  </si>
  <si>
    <t xml:space="preserve">UV.UV_VIS_2.Wavelength = 256.0 nm </t>
  </si>
  <si>
    <t xml:space="preserve">UV.UV_VIS_2.Bandwidth = 4 nm </t>
  </si>
  <si>
    <t xml:space="preserve">UV.UV_VIS_2.RefWavelength = Off </t>
  </si>
  <si>
    <t xml:space="preserve">UV.UV_VIS_2.RefBandwidth = 1 nm </t>
  </si>
  <si>
    <t xml:space="preserve">Entered stage "Inject Preparation" </t>
  </si>
  <si>
    <t xml:space="preserve">UV.Autozero </t>
  </si>
  <si>
    <t xml:space="preserve">Wait ColumnOven.Ready And Sampler.Ready And UV.Ready </t>
  </si>
  <si>
    <t>13:14:27</t>
  </si>
  <si>
    <t xml:space="preserve">Wait finished </t>
  </si>
  <si>
    <t xml:space="preserve">Entered stage "Inject" </t>
  </si>
  <si>
    <t xml:space="preserve">Sampler.Inject </t>
  </si>
  <si>
    <t xml:space="preserve">Injecting from vial position RA1. </t>
  </si>
  <si>
    <t xml:space="preserve">Injection Volume is 2.000 µl. </t>
  </si>
  <si>
    <t xml:space="preserve">Waiting for inject response on UM3WPSInjectState1. </t>
  </si>
  <si>
    <t>13:14:29</t>
  </si>
  <si>
    <t xml:space="preserve">Got inject response. </t>
  </si>
  <si>
    <t xml:space="preserve">Entered stage "Start Run" </t>
  </si>
  <si>
    <t xml:space="preserve">UV.UV_VIS_1.AcqOn </t>
  </si>
  <si>
    <t xml:space="preserve">UV.UV_VIS_2.AcqOn </t>
  </si>
  <si>
    <t xml:space="preserve">UV.3DFIELD.AcqOn </t>
  </si>
  <si>
    <t xml:space="preserve">Entered stage "Run" </t>
  </si>
  <si>
    <t xml:space="preserve">PumpModule.Pump.Flow.Nominal = 1.400 ml/min </t>
  </si>
  <si>
    <t xml:space="preserve">PumpModule.Pump.%B.Value Gradient Start = 35.0 %, End = 90.0 %, Duration = 0.300 min </t>
  </si>
  <si>
    <t xml:space="preserve">PumpModule.Pump.%C.Value = 0.0 % </t>
  </si>
  <si>
    <t xml:space="preserve">PumpModule.Pump.%D.Value = 0.0 % </t>
  </si>
  <si>
    <t xml:space="preserve">PumpModule.Pump.Curve = 5 </t>
  </si>
  <si>
    <t xml:space="preserve">Reading from simulation data file C:\Program Files (x86)\Thermo\Chromeleon\bin\DDK\V1\Drivers\Dionex\DAD3000\cmoq_1.dad3000. </t>
  </si>
  <si>
    <t>13:14:47</t>
  </si>
  <si>
    <t>0.300</t>
  </si>
  <si>
    <t xml:space="preserve">PumpModule.Pump.%B.Value = 90.0 % </t>
  </si>
  <si>
    <t>13:14:56</t>
  </si>
  <si>
    <t>0.450</t>
  </si>
  <si>
    <t xml:space="preserve">UV.3DFIELD.AcqOff </t>
  </si>
  <si>
    <t xml:space="preserve">UV.UV_VIS_1.AcqOff </t>
  </si>
  <si>
    <t xml:space="preserve">UV.UV_VIS_2.AcqOff </t>
  </si>
  <si>
    <t xml:space="preserve">Entered stage "Stop Run" </t>
  </si>
  <si>
    <t xml:space="preserve">Terminating instrument method chrom://deger-6fwtxt2/Workspace/OQ/Station Qual 2022-07-12.seq/CM_OQ.instmeth. Waiting for instrument to finish processing of current injection ... </t>
  </si>
  <si>
    <t>0.451</t>
  </si>
  <si>
    <t xml:space="preserve">Closing simulation data file. </t>
  </si>
  <si>
    <t xml:space="preserve">OK to terminate instrument method chrom://deger-6fwtxt2/Workspace/OQ/Station Qual 2022-07-12.seq/CM_OQ.instmeth. </t>
  </si>
  <si>
    <t xml:space="preserve">IRC Message for Test Case "System Suitability Test Case 5": Injection specification criteria has not been met </t>
  </si>
  <si>
    <t xml:space="preserve">IRC Message for Test Case "System Suitability Test Case 6": Injection specification criteria has not been met </t>
  </si>
  <si>
    <t xml:space="preserve">End of injection "Alkylphenones 1".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</si>
</sst>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/mmm/yy\ hh:mm:ss"/>
    <numFmt numFmtId="165" formatCode=";;"/>
    <numFmt numFmtId="166" formatCode="dd/mmm/yyyy\ hh:mm"/>
    <numFmt numFmtId="167" formatCode="0.0000"/>
    <numFmt numFmtId="168" formatCode="dd/mmm/yy\ hh:mm"/>
    <numFmt numFmtId="169" formatCode="dd/mm/yy\ hh:mm"/>
    <numFmt numFmtId="170" formatCode="0.000&quot; &quot;"/>
    <numFmt numFmtId="171" formatCode="0.0000&quot; &quot;"/>
    <numFmt numFmtId="172" formatCode="0.00&quot; &quot;"/>
    <numFmt numFmtId="173" formatCode="0.00&quot;      &quot;"/>
    <numFmt numFmtId="174" formatCode="0.000"/>
    <numFmt numFmtId="175" formatCode="0.0000&quot;  &quot;"/>
  </numFmts>
  <fonts count="13" x14ac:knownFonts="1">
    <font>
      <sz val="10"/>
      <name val="Arial"/>
    </font>
    <font>
      <b/>
      <sz val="16"/>
      <name val="Calibri"/>
    </font>
    <font>
      <b/>
      <sz val="12"/>
      <name val="Calibri"/>
    </font>
    <font>
      <i/>
      <sz val="10"/>
      <name val="Arial"/>
    </font>
    <font>
      <b/>
      <sz val="10"/>
      <name val="Arial"/>
    </font>
    <font>
      <sz val="10"/>
      <color rgb="FF000000"/>
      <name val="Arial"/>
    </font>
    <font>
      <b/>
      <sz val="16"/>
      <name val="Calibri"/>
    </font>
    <font>
      <b/>
      <sz val="10"/>
      <name val="Arial"/>
    </font>
    <font>
      <sz val="10"/>
      <name val="Arial"/>
    </font>
    <font>
      <b/>
      <sz val="12"/>
      <name val="Calibri"/>
    </font>
    <font>
      <i/>
      <sz val="10"/>
      <name val="Arial"/>
    </font>
    <font>
      <b/>
      <sz val="9"/>
      <name val="Arial"/>
    </font>
    <font>
      <b/>
      <sz val="10"/>
      <color rgb="FF0070C0"/>
      <name val="Arial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rgb="FFE0FFE0"/>
        <bgColor rgb="FF4472C4"/>
      </patternFill>
    </fill>
    <fill>
      <patternFill patternType="solid">
        <fgColor rgb="FFD8D8D8"/>
        <bgColor rgb="FFDAE3F3"/>
      </patternFill>
    </fill>
    <fill>
      <patternFill patternType="solid">
        <fgColor rgb="FFD8D8D8"/>
      </patternFill>
    </fill>
    <fill>
      <patternFill patternType="solid">
        <fgColor rgb="FFD8D8D8"/>
        <bgColor auto="1"/>
      </patternFill>
    </fill>
    <fill>
      <patternFill patternType="none">
        <fgColor auto="1"/>
        <bgColor auto="1"/>
      </patternFill>
    </fill>
    <fill>
      <patternFill patternType="solid">
        <fgColor rgb="FFA6CAF0"/>
      </patternFill>
    </fill>
    <fill>
      <patternFill patternType="solid">
        <fgColor rgb="FFFFCC00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2" borderId="1"/>
  </cellStyleXfs>
  <cellXfs count="247">
    <xf numFmtId="0" fontId="0" fillId="2" borderId="1" xfId="0"/>
    <xf numFmtId="0" fontId="0" fillId="2" borderId="1" xfId="0" applyAlignment="1">
      <alignment vertical="center"/>
    </xf>
    <xf numFmtId="0" fontId="0" fillId="2" borderId="1" xfId="0" applyAlignment="1">
      <alignment horizontal="left" vertical="center"/>
    </xf>
    <xf numFmtId="0" fontId="0" fillId="2" borderId="1" xfId="0" applyAlignment="1">
      <alignment horizontal="left"/>
    </xf>
    <xf numFmtId="0" fontId="0" fillId="2" borderId="1" xfId="0" applyAlignment="1">
      <alignment horizontal="left" vertical="top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2" fillId="4" borderId="8" xfId="0" applyFont="1" applyFill="1" applyBorder="1" applyAlignment="1">
      <alignment horizontal="left" vertical="center"/>
    </xf>
    <xf numFmtId="0" fontId="0" fillId="4" borderId="1" xfId="0" applyFill="1" applyAlignment="1">
      <alignment horizontal="left"/>
    </xf>
    <xf numFmtId="0" fontId="0" fillId="4" borderId="9" xfId="0" applyFill="1" applyBorder="1" applyAlignment="1">
      <alignment horizontal="left"/>
    </xf>
    <xf numFmtId="0" fontId="3" fillId="2" borderId="10" xfId="0" applyFont="1" applyBorder="1" applyAlignment="1">
      <alignment horizontal="left" vertical="center"/>
    </xf>
    <xf numFmtId="0" fontId="3" fillId="2" borderId="11" xfId="0" applyFont="1" applyBorder="1" applyAlignment="1">
      <alignment horizontal="left" vertical="center"/>
    </xf>
    <xf numFmtId="0" fontId="4" fillId="2" borderId="11" xfId="0" applyFont="1" applyBorder="1" applyAlignment="1">
      <alignment horizontal="left" vertical="center"/>
    </xf>
    <xf numFmtId="0" fontId="0" fillId="2" borderId="11" xfId="0" applyBorder="1" applyAlignment="1">
      <alignment horizontal="left" vertical="center"/>
    </xf>
    <xf numFmtId="164" fontId="4" fillId="2" borderId="12" xfId="0" applyNumberFormat="1" applyFont="1" applyBorder="1" applyAlignment="1">
      <alignment horizontal="left" vertical="center"/>
    </xf>
    <xf numFmtId="2" fontId="4" fillId="2" borderId="1" xfId="0" applyNumberFormat="1" applyFont="1" applyAlignment="1">
      <alignment horizontal="left" vertical="center"/>
    </xf>
    <xf numFmtId="0" fontId="3" fillId="2" borderId="8" xfId="0" applyFont="1" applyBorder="1" applyAlignment="1">
      <alignment horizontal="left" vertical="center"/>
    </xf>
    <xf numFmtId="0" fontId="3" fillId="2" borderId="1" xfId="0" applyFont="1" applyAlignment="1">
      <alignment horizontal="left" vertical="center"/>
    </xf>
    <xf numFmtId="0" fontId="4" fillId="2" borderId="1" xfId="0" applyFont="1" applyAlignment="1">
      <alignment horizontal="left" vertical="center"/>
    </xf>
    <xf numFmtId="0" fontId="4" fillId="2" borderId="9" xfId="0" applyFont="1" applyBorder="1" applyAlignment="1">
      <alignment horizontal="left" vertical="center"/>
    </xf>
    <xf numFmtId="164" fontId="4" fillId="2" borderId="9" xfId="0" applyNumberFormat="1" applyFont="1" applyBorder="1" applyAlignment="1">
      <alignment horizontal="left" vertical="center"/>
    </xf>
    <xf numFmtId="0" fontId="3" fillId="2" borderId="5" xfId="0" applyFont="1" applyBorder="1" applyAlignment="1">
      <alignment horizontal="left" vertical="center"/>
    </xf>
    <xf numFmtId="0" fontId="3" fillId="2" borderId="6" xfId="0" applyFont="1" applyBorder="1" applyAlignment="1">
      <alignment horizontal="left" vertical="center"/>
    </xf>
    <xf numFmtId="1" fontId="4" fillId="2" borderId="6" xfId="0" applyNumberFormat="1" applyFont="1" applyBorder="1" applyAlignment="1">
      <alignment horizontal="left" vertical="center"/>
    </xf>
    <xf numFmtId="0" fontId="0" fillId="2" borderId="6" xfId="0" applyBorder="1" applyAlignment="1">
      <alignment horizontal="left" vertical="center"/>
    </xf>
    <xf numFmtId="0" fontId="4" fillId="2" borderId="7" xfId="0" applyFont="1" applyBorder="1" applyAlignment="1">
      <alignment horizontal="left" vertical="center"/>
    </xf>
    <xf numFmtId="165" fontId="4" fillId="2" borderId="1" xfId="0" applyNumberFormat="1" applyFont="1" applyAlignment="1">
      <alignment horizontal="left" vertical="center"/>
    </xf>
    <xf numFmtId="1" fontId="4" fillId="2" borderId="1" xfId="0" applyNumberFormat="1" applyFont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5" fillId="5" borderId="16" xfId="0" applyFont="1" applyFill="1" applyBorder="1"/>
    <xf numFmtId="0" fontId="5" fillId="5" borderId="17" xfId="0" applyFont="1" applyFill="1" applyBorder="1"/>
    <xf numFmtId="0" fontId="5" fillId="5" borderId="18" xfId="0" applyFont="1" applyFill="1" applyBorder="1"/>
    <xf numFmtId="1" fontId="5" fillId="6" borderId="19" xfId="0" applyNumberFormat="1" applyFont="1" applyFill="1" applyBorder="1"/>
    <xf numFmtId="0" fontId="5" fillId="6" borderId="19" xfId="0" applyFont="1" applyFill="1" applyBorder="1"/>
    <xf numFmtId="166" fontId="5" fillId="6" borderId="19" xfId="0" applyNumberFormat="1" applyFont="1" applyFill="1" applyBorder="1"/>
    <xf numFmtId="1" fontId="5" fillId="7" borderId="19" xfId="0" applyNumberFormat="1" applyFont="1" applyFill="1" applyBorder="1"/>
    <xf numFmtId="0" fontId="5" fillId="7" borderId="19" xfId="0" applyFont="1" applyFill="1" applyBorder="1"/>
    <xf numFmtId="166" fontId="5" fillId="7" borderId="19" xfId="0" applyNumberFormat="1" applyFont="1" applyFill="1" applyBorder="1"/>
    <xf numFmtId="0" fontId="0" fillId="2" borderId="20" xfId="0" applyBorder="1"/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2" fontId="4" fillId="2" borderId="9" xfId="0" applyNumberFormat="1" applyFont="1" applyBorder="1" applyAlignment="1">
      <alignment horizontal="left" vertical="center"/>
    </xf>
    <xf numFmtId="165" fontId="4" fillId="2" borderId="9" xfId="0" applyNumberFormat="1" applyFont="1" applyBorder="1" applyAlignment="1">
      <alignment horizontal="left" vertical="center"/>
    </xf>
    <xf numFmtId="167" fontId="4" fillId="2" borderId="1" xfId="0" applyNumberFormat="1" applyFont="1" applyAlignment="1">
      <alignment horizontal="left" vertical="center"/>
    </xf>
    <xf numFmtId="167" fontId="4" fillId="2" borderId="9" xfId="0" applyNumberFormat="1" applyFont="1" applyBorder="1" applyAlignment="1">
      <alignment horizontal="left" vertical="center"/>
    </xf>
    <xf numFmtId="168" fontId="4" fillId="2" borderId="6" xfId="0" applyNumberFormat="1" applyFont="1" applyBorder="1" applyAlignment="1">
      <alignment horizontal="left" vertical="center"/>
    </xf>
    <xf numFmtId="167" fontId="4" fillId="2" borderId="6" xfId="0" applyNumberFormat="1" applyFont="1" applyBorder="1" applyAlignment="1">
      <alignment horizontal="left" vertical="center"/>
    </xf>
    <xf numFmtId="167" fontId="4" fillId="2" borderId="7" xfId="0" applyNumberFormat="1" applyFont="1" applyBorder="1" applyAlignment="1">
      <alignment horizontal="left" vertical="center"/>
    </xf>
    <xf numFmtId="169" fontId="4" fillId="2" borderId="1" xfId="0" applyNumberFormat="1" applyFont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5" fillId="5" borderId="16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2" xfId="0" applyBorder="1"/>
    <xf numFmtId="0" fontId="5" fillId="5" borderId="17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vertical="center"/>
    </xf>
    <xf numFmtId="170" fontId="5" fillId="8" borderId="4" xfId="0" applyNumberFormat="1" applyFont="1" applyFill="1" applyBorder="1" applyAlignment="1">
      <alignment vertical="center"/>
    </xf>
    <xf numFmtId="171" fontId="5" fillId="8" borderId="4" xfId="0" applyNumberFormat="1" applyFont="1" applyFill="1" applyBorder="1" applyAlignment="1">
      <alignment vertical="center"/>
    </xf>
    <xf numFmtId="172" fontId="5" fillId="8" borderId="4" xfId="0" applyNumberFormat="1" applyFont="1" applyFill="1" applyBorder="1" applyAlignment="1">
      <alignment vertical="center"/>
    </xf>
    <xf numFmtId="2" fontId="5" fillId="8" borderId="4" xfId="0" applyNumberFormat="1" applyFont="1" applyFill="1" applyBorder="1" applyAlignment="1">
      <alignment vertical="center"/>
    </xf>
    <xf numFmtId="0" fontId="5" fillId="8" borderId="17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vertical="center"/>
    </xf>
    <xf numFmtId="170" fontId="5" fillId="8" borderId="23" xfId="0" applyNumberFormat="1" applyFont="1" applyFill="1" applyBorder="1" applyAlignment="1">
      <alignment vertical="center"/>
    </xf>
    <xf numFmtId="171" fontId="5" fillId="8" borderId="23" xfId="0" applyNumberFormat="1" applyFont="1" applyFill="1" applyBorder="1" applyAlignment="1">
      <alignment vertical="center"/>
    </xf>
    <xf numFmtId="172" fontId="5" fillId="8" borderId="23" xfId="0" applyNumberFormat="1" applyFont="1" applyFill="1" applyBorder="1" applyAlignment="1">
      <alignment vertical="center"/>
    </xf>
    <xf numFmtId="2" fontId="5" fillId="8" borderId="23" xfId="0" applyNumberFormat="1" applyFont="1" applyFill="1" applyBorder="1" applyAlignment="1">
      <alignment vertical="center"/>
    </xf>
    <xf numFmtId="0" fontId="5" fillId="8" borderId="18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vertical="center"/>
    </xf>
    <xf numFmtId="170" fontId="5" fillId="8" borderId="24" xfId="0" applyNumberFormat="1" applyFont="1" applyFill="1" applyBorder="1" applyAlignment="1">
      <alignment vertical="center"/>
    </xf>
    <xf numFmtId="171" fontId="5" fillId="8" borderId="24" xfId="0" applyNumberFormat="1" applyFont="1" applyFill="1" applyBorder="1" applyAlignment="1">
      <alignment vertical="center"/>
    </xf>
    <xf numFmtId="172" fontId="5" fillId="8" borderId="24" xfId="0" applyNumberFormat="1" applyFont="1" applyFill="1" applyBorder="1" applyAlignment="1">
      <alignment vertical="center"/>
    </xf>
    <xf numFmtId="2" fontId="5" fillId="8" borderId="24" xfId="0" applyNumberFormat="1" applyFont="1" applyFill="1" applyBorder="1" applyAlignment="1">
      <alignment vertical="center"/>
    </xf>
    <xf numFmtId="0" fontId="7" fillId="9" borderId="25" xfId="0" applyFont="1" applyFill="1" applyBorder="1" applyAlignment="1">
      <alignment vertical="center"/>
    </xf>
    <xf numFmtId="173" fontId="8" fillId="9" borderId="26" xfId="0" applyNumberFormat="1" applyFont="1" applyFill="1" applyBorder="1" applyAlignment="1">
      <alignment vertical="center"/>
    </xf>
    <xf numFmtId="0" fontId="8" fillId="9" borderId="26" xfId="0" applyFont="1" applyFill="1" applyBorder="1" applyAlignment="1">
      <alignment vertical="center"/>
    </xf>
    <xf numFmtId="170" fontId="7" fillId="9" borderId="26" xfId="0" applyNumberFormat="1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2" fillId="4" borderId="31" xfId="0" applyFont="1" applyFill="1" applyBorder="1" applyAlignment="1">
      <alignment horizontal="left"/>
    </xf>
    <xf numFmtId="0" fontId="0" fillId="4" borderId="32" xfId="0" applyFill="1" applyBorder="1" applyAlignment="1">
      <alignment horizontal="left"/>
    </xf>
    <xf numFmtId="0" fontId="2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/>
    </xf>
    <xf numFmtId="0" fontId="3" fillId="2" borderId="1" xfId="0" applyFont="1" applyAlignment="1">
      <alignment vertical="center"/>
    </xf>
    <xf numFmtId="167" fontId="0" fillId="2" borderId="9" xfId="0" applyNumberFormat="1" applyBorder="1" applyAlignment="1">
      <alignment horizontal="left" vertical="center"/>
    </xf>
    <xf numFmtId="174" fontId="0" fillId="2" borderId="1" xfId="0" applyNumberFormat="1"/>
    <xf numFmtId="1" fontId="0" fillId="2" borderId="1" xfId="0" applyNumberFormat="1" applyAlignment="1">
      <alignment horizontal="left" vertical="center"/>
    </xf>
    <xf numFmtId="0" fontId="0" fillId="2" borderId="6" xfId="0" applyBorder="1"/>
    <xf numFmtId="1" fontId="0" fillId="2" borderId="6" xfId="0" applyNumberFormat="1" applyBorder="1" applyAlignment="1">
      <alignment horizontal="left" vertical="center"/>
    </xf>
    <xf numFmtId="0" fontId="3" fillId="2" borderId="6" xfId="0" applyFont="1" applyBorder="1" applyAlignment="1">
      <alignment vertical="center"/>
    </xf>
    <xf numFmtId="0" fontId="0" fillId="2" borderId="6" xfId="0" applyBorder="1" applyAlignment="1">
      <alignment vertical="center"/>
    </xf>
    <xf numFmtId="167" fontId="0" fillId="2" borderId="7" xfId="0" applyNumberFormat="1" applyBorder="1" applyAlignment="1">
      <alignment horizontal="left" vertical="center"/>
    </xf>
    <xf numFmtId="0" fontId="2" fillId="4" borderId="31" xfId="0" applyFont="1" applyFill="1" applyBorder="1" applyAlignment="1">
      <alignment horizontal="left" vertical="center"/>
    </xf>
    <xf numFmtId="0" fontId="0" fillId="4" borderId="32" xfId="0" applyFill="1" applyBorder="1" applyAlignment="1">
      <alignment horizontal="left" vertical="center"/>
    </xf>
    <xf numFmtId="0" fontId="9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 vertical="center"/>
    </xf>
    <xf numFmtId="1" fontId="5" fillId="8" borderId="16" xfId="0" applyNumberFormat="1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center"/>
    </xf>
    <xf numFmtId="171" fontId="5" fillId="8" borderId="4" xfId="0" applyNumberFormat="1" applyFont="1" applyFill="1" applyBorder="1"/>
    <xf numFmtId="170" fontId="5" fillId="8" borderId="4" xfId="0" applyNumberFormat="1" applyFont="1" applyFill="1" applyBorder="1"/>
    <xf numFmtId="0" fontId="0" fillId="2" borderId="1" xfId="0" applyAlignment="1">
      <alignment horizontal="center" vertical="center"/>
    </xf>
    <xf numFmtId="1" fontId="5" fillId="8" borderId="17" xfId="0" applyNumberFormat="1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center"/>
    </xf>
    <xf numFmtId="171" fontId="5" fillId="8" borderId="23" xfId="0" applyNumberFormat="1" applyFont="1" applyFill="1" applyBorder="1"/>
    <xf numFmtId="170" fontId="5" fillId="8" borderId="23" xfId="0" applyNumberFormat="1" applyFont="1" applyFill="1" applyBorder="1"/>
    <xf numFmtId="1" fontId="5" fillId="8" borderId="18" xfId="0" applyNumberFormat="1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center"/>
    </xf>
    <xf numFmtId="171" fontId="5" fillId="8" borderId="24" xfId="0" applyNumberFormat="1" applyFont="1" applyFill="1" applyBorder="1"/>
    <xf numFmtId="170" fontId="5" fillId="8" borderId="24" xfId="0" applyNumberFormat="1" applyFont="1" applyFill="1" applyBorder="1"/>
    <xf numFmtId="0" fontId="9" fillId="4" borderId="8" xfId="0" applyFont="1" applyFill="1" applyBorder="1" applyAlignment="1">
      <alignment horizontal="left" vertical="center"/>
    </xf>
    <xf numFmtId="0" fontId="8" fillId="4" borderId="1" xfId="0" applyFont="1" applyFill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10" fillId="9" borderId="10" xfId="0" applyFont="1" applyFill="1" applyBorder="1" applyAlignment="1">
      <alignment horizontal="left" vertical="center"/>
    </xf>
    <xf numFmtId="0" fontId="10" fillId="9" borderId="11" xfId="0" applyFont="1" applyFill="1" applyBorder="1" applyAlignment="1">
      <alignment horizontal="left" vertical="center"/>
    </xf>
    <xf numFmtId="0" fontId="7" fillId="9" borderId="11" xfId="0" applyFont="1" applyFill="1" applyBorder="1" applyAlignment="1">
      <alignment horizontal="left" vertical="center"/>
    </xf>
    <xf numFmtId="0" fontId="8" fillId="9" borderId="11" xfId="0" applyFont="1" applyFill="1" applyBorder="1" applyAlignment="1">
      <alignment horizontal="left" vertical="center"/>
    </xf>
    <xf numFmtId="2" fontId="7" fillId="9" borderId="1" xfId="0" applyNumberFormat="1" applyFont="1" applyFill="1" applyAlignment="1">
      <alignment horizontal="left" vertical="center"/>
    </xf>
    <xf numFmtId="2" fontId="7" fillId="9" borderId="9" xfId="0" applyNumberFormat="1" applyFont="1" applyFill="1" applyBorder="1" applyAlignment="1">
      <alignment horizontal="left" vertical="center"/>
    </xf>
    <xf numFmtId="0" fontId="10" fillId="9" borderId="8" xfId="0" applyFont="1" applyFill="1" applyBorder="1" applyAlignment="1">
      <alignment horizontal="left" vertical="center"/>
    </xf>
    <xf numFmtId="0" fontId="10" fillId="9" borderId="1" xfId="0" applyFont="1" applyFill="1" applyAlignment="1">
      <alignment horizontal="left" vertical="center"/>
    </xf>
    <xf numFmtId="0" fontId="7" fillId="9" borderId="1" xfId="0" applyFont="1" applyFill="1" applyAlignment="1">
      <alignment horizontal="left" vertical="center"/>
    </xf>
    <xf numFmtId="0" fontId="8" fillId="9" borderId="1" xfId="0" applyFont="1" applyFill="1" applyAlignment="1">
      <alignment horizontal="left" vertical="center"/>
    </xf>
    <xf numFmtId="0" fontId="7" fillId="9" borderId="9" xfId="0" applyFont="1" applyFill="1" applyBorder="1" applyAlignment="1">
      <alignment horizontal="left" vertical="center"/>
    </xf>
    <xf numFmtId="165" fontId="7" fillId="9" borderId="9" xfId="0" applyNumberFormat="1" applyFont="1" applyFill="1" applyBorder="1" applyAlignment="1">
      <alignment horizontal="left" vertical="center"/>
    </xf>
    <xf numFmtId="167" fontId="7" fillId="9" borderId="1" xfId="0" applyNumberFormat="1" applyFont="1" applyFill="1" applyAlignment="1">
      <alignment horizontal="left" vertical="center"/>
    </xf>
    <xf numFmtId="167" fontId="7" fillId="9" borderId="9" xfId="0" applyNumberFormat="1" applyFont="1" applyFill="1" applyBorder="1" applyAlignment="1">
      <alignment horizontal="left" vertical="center"/>
    </xf>
    <xf numFmtId="0" fontId="10" fillId="9" borderId="5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/>
    </xf>
    <xf numFmtId="168" fontId="7" fillId="9" borderId="6" xfId="0" applyNumberFormat="1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167" fontId="7" fillId="9" borderId="6" xfId="0" applyNumberFormat="1" applyFont="1" applyFill="1" applyBorder="1" applyAlignment="1">
      <alignment horizontal="left" vertical="center"/>
    </xf>
    <xf numFmtId="167" fontId="7" fillId="9" borderId="7" xfId="0" applyNumberFormat="1" applyFont="1" applyFill="1" applyBorder="1" applyAlignment="1">
      <alignment horizontal="left" vertical="center"/>
    </xf>
    <xf numFmtId="0" fontId="2" fillId="10" borderId="34" xfId="0" applyFont="1" applyFill="1" applyBorder="1" applyAlignment="1">
      <alignment horizontal="left" vertical="center"/>
    </xf>
    <xf numFmtId="0" fontId="0" fillId="10" borderId="35" xfId="0" applyFill="1" applyBorder="1" applyAlignment="1">
      <alignment horizontal="left"/>
    </xf>
    <xf numFmtId="0" fontId="0" fillId="10" borderId="36" xfId="0" applyFill="1" applyBorder="1" applyAlignment="1">
      <alignment horizontal="left"/>
    </xf>
    <xf numFmtId="170" fontId="5" fillId="8" borderId="4" xfId="0" applyNumberFormat="1" applyFont="1" applyFill="1" applyBorder="1" applyAlignment="1">
      <alignment horizontal="center" vertical="center"/>
    </xf>
    <xf numFmtId="174" fontId="5" fillId="8" borderId="4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2" fontId="5" fillId="8" borderId="4" xfId="0" applyNumberFormat="1" applyFont="1" applyFill="1" applyBorder="1" applyAlignment="1">
      <alignment horizontal="center" vertical="center"/>
    </xf>
    <xf numFmtId="170" fontId="5" fillId="8" borderId="23" xfId="0" applyNumberFormat="1" applyFont="1" applyFill="1" applyBorder="1" applyAlignment="1">
      <alignment horizontal="center" vertical="center"/>
    </xf>
    <xf numFmtId="174" fontId="5" fillId="8" borderId="23" xfId="0" applyNumberFormat="1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2" fontId="5" fillId="8" borderId="23" xfId="0" applyNumberFormat="1" applyFont="1" applyFill="1" applyBorder="1" applyAlignment="1">
      <alignment horizontal="center" vertical="center"/>
    </xf>
    <xf numFmtId="170" fontId="5" fillId="8" borderId="24" xfId="0" applyNumberFormat="1" applyFont="1" applyFill="1" applyBorder="1" applyAlignment="1">
      <alignment horizontal="center" vertical="center"/>
    </xf>
    <xf numFmtId="174" fontId="5" fillId="8" borderId="24" xfId="0" applyNumberFormat="1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2" fontId="5" fillId="8" borderId="24" xfId="0" applyNumberFormat="1" applyFont="1" applyFill="1" applyBorder="1" applyAlignment="1">
      <alignment horizontal="center" vertical="center"/>
    </xf>
    <xf numFmtId="0" fontId="0" fillId="11" borderId="39" xfId="0" applyFill="1" applyBorder="1"/>
    <xf numFmtId="0" fontId="0" fillId="10" borderId="1" xfId="0" applyFill="1" applyAlignment="1">
      <alignment horizontal="left"/>
    </xf>
    <xf numFmtId="0" fontId="0" fillId="4" borderId="30" xfId="0" applyFill="1" applyBorder="1" applyAlignment="1">
      <alignment horizontal="left"/>
    </xf>
    <xf numFmtId="0" fontId="0" fillId="2" borderId="40" xfId="0" applyBorder="1" applyAlignment="1">
      <alignment vertical="center"/>
    </xf>
    <xf numFmtId="0" fontId="10" fillId="2" borderId="41" xfId="0" applyFont="1" applyBorder="1" applyAlignment="1">
      <alignment horizontal="left" vertical="center"/>
    </xf>
    <xf numFmtId="0" fontId="10" fillId="2" borderId="42" xfId="0" applyFont="1" applyBorder="1" applyAlignment="1">
      <alignment horizontal="left" vertical="center"/>
    </xf>
    <xf numFmtId="0" fontId="7" fillId="2" borderId="42" xfId="0" applyFont="1" applyBorder="1" applyAlignment="1">
      <alignment horizontal="left" vertical="center"/>
    </xf>
    <xf numFmtId="0" fontId="0" fillId="2" borderId="3" xfId="0" applyBorder="1" applyAlignment="1">
      <alignment horizontal="left" vertical="center"/>
    </xf>
    <xf numFmtId="2" fontId="7" fillId="2" borderId="43" xfId="0" applyNumberFormat="1" applyFont="1" applyBorder="1" applyAlignment="1">
      <alignment horizontal="left" vertical="center"/>
    </xf>
    <xf numFmtId="2" fontId="7" fillId="9" borderId="38" xfId="0" applyNumberFormat="1" applyFont="1" applyFill="1" applyBorder="1" applyAlignment="1">
      <alignment horizontal="left" vertical="center"/>
    </xf>
    <xf numFmtId="0" fontId="0" fillId="2" borderId="22" xfId="0" applyBorder="1" applyAlignment="1">
      <alignment horizontal="left" vertical="center"/>
    </xf>
    <xf numFmtId="0" fontId="10" fillId="2" borderId="44" xfId="0" applyFont="1" applyBorder="1" applyAlignment="1">
      <alignment horizontal="left" vertical="center"/>
    </xf>
    <xf numFmtId="0" fontId="10" fillId="2" borderId="45" xfId="0" applyFont="1" applyBorder="1" applyAlignment="1">
      <alignment horizontal="left" vertical="center"/>
    </xf>
    <xf numFmtId="0" fontId="7" fillId="2" borderId="45" xfId="0" applyFont="1" applyBorder="1" applyAlignment="1">
      <alignment horizontal="left" vertical="center"/>
    </xf>
    <xf numFmtId="0" fontId="0" fillId="2" borderId="38" xfId="0" applyBorder="1" applyAlignment="1">
      <alignment horizontal="left" vertical="center"/>
    </xf>
    <xf numFmtId="2" fontId="7" fillId="2" borderId="46" xfId="0" applyNumberFormat="1" applyFont="1" applyBorder="1" applyAlignment="1">
      <alignment horizontal="left" vertical="center"/>
    </xf>
    <xf numFmtId="0" fontId="0" fillId="2" borderId="22" xfId="0" applyBorder="1" applyAlignment="1">
      <alignment vertical="center"/>
    </xf>
    <xf numFmtId="0" fontId="7" fillId="2" borderId="46" xfId="0" applyFont="1" applyBorder="1" applyAlignment="1">
      <alignment horizontal="left" vertical="center"/>
    </xf>
    <xf numFmtId="0" fontId="7" fillId="9" borderId="38" xfId="0" applyFont="1" applyFill="1" applyBorder="1" applyAlignment="1">
      <alignment horizontal="left" vertical="center"/>
    </xf>
    <xf numFmtId="165" fontId="7" fillId="9" borderId="38" xfId="0" applyNumberFormat="1" applyFont="1" applyFill="1" applyBorder="1" applyAlignment="1">
      <alignment horizontal="left" vertical="center"/>
    </xf>
    <xf numFmtId="167" fontId="7" fillId="2" borderId="46" xfId="0" applyNumberFormat="1" applyFont="1" applyBorder="1" applyAlignment="1">
      <alignment horizontal="left" vertical="center"/>
    </xf>
    <xf numFmtId="167" fontId="7" fillId="9" borderId="38" xfId="0" applyNumberFormat="1" applyFont="1" applyFill="1" applyBorder="1" applyAlignment="1">
      <alignment horizontal="left" vertical="center"/>
    </xf>
    <xf numFmtId="0" fontId="10" fillId="2" borderId="47" xfId="0" applyFont="1" applyBorder="1" applyAlignment="1">
      <alignment horizontal="left" vertical="center"/>
    </xf>
    <xf numFmtId="0" fontId="10" fillId="2" borderId="48" xfId="0" applyFont="1" applyBorder="1" applyAlignment="1">
      <alignment horizontal="left" vertical="center"/>
    </xf>
    <xf numFmtId="168" fontId="7" fillId="2" borderId="48" xfId="0" applyNumberFormat="1" applyFont="1" applyBorder="1" applyAlignment="1">
      <alignment horizontal="left" vertical="center"/>
    </xf>
    <xf numFmtId="0" fontId="0" fillId="2" borderId="49" xfId="0" applyBorder="1" applyAlignment="1">
      <alignment horizontal="left" vertical="center"/>
    </xf>
    <xf numFmtId="167" fontId="7" fillId="2" borderId="50" xfId="0" applyNumberFormat="1" applyFont="1" applyBorder="1" applyAlignment="1">
      <alignment horizontal="left" vertical="center"/>
    </xf>
    <xf numFmtId="0" fontId="0" fillId="2" borderId="20" xfId="0" applyBorder="1" applyAlignment="1">
      <alignment horizontal="left" vertical="center"/>
    </xf>
    <xf numFmtId="0" fontId="0" fillId="10" borderId="51" xfId="0" applyFill="1" applyBorder="1" applyAlignment="1">
      <alignment horizontal="left"/>
    </xf>
    <xf numFmtId="0" fontId="5" fillId="5" borderId="16" xfId="0" applyFont="1" applyFill="1" applyBorder="1" applyAlignment="1">
      <alignment vertical="center"/>
    </xf>
    <xf numFmtId="0" fontId="5" fillId="5" borderId="16" xfId="0" applyFont="1" applyFill="1" applyBorder="1" applyAlignment="1">
      <alignment horizontal="center" vertical="center"/>
    </xf>
    <xf numFmtId="1" fontId="5" fillId="8" borderId="19" xfId="0" applyNumberFormat="1" applyFont="1" applyFill="1" applyBorder="1" applyAlignment="1">
      <alignment vertical="center"/>
    </xf>
    <xf numFmtId="0" fontId="5" fillId="8" borderId="19" xfId="0" applyFont="1" applyFill="1" applyBorder="1" applyAlignment="1">
      <alignment vertical="center"/>
    </xf>
    <xf numFmtId="0" fontId="5" fillId="8" borderId="19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left" vertical="center"/>
    </xf>
    <xf numFmtId="0" fontId="7" fillId="9" borderId="52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vertical="center"/>
    </xf>
    <xf numFmtId="0" fontId="0" fillId="3" borderId="8" xfId="0" applyFill="1" applyBorder="1"/>
    <xf numFmtId="0" fontId="0" fillId="3" borderId="1" xfId="0" applyFill="1"/>
    <xf numFmtId="0" fontId="0" fillId="3" borderId="9" xfId="0" applyFill="1" applyBorder="1"/>
    <xf numFmtId="164" fontId="7" fillId="9" borderId="12" xfId="0" applyNumberFormat="1" applyFont="1" applyFill="1" applyBorder="1" applyAlignment="1">
      <alignment horizontal="left" vertical="center"/>
    </xf>
    <xf numFmtId="164" fontId="7" fillId="9" borderId="9" xfId="0" applyNumberFormat="1" applyFont="1" applyFill="1" applyBorder="1" applyAlignment="1">
      <alignment horizontal="left" vertical="center"/>
    </xf>
    <xf numFmtId="1" fontId="7" fillId="9" borderId="6" xfId="0" applyNumberFormat="1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left" vertical="center"/>
    </xf>
    <xf numFmtId="0" fontId="0" fillId="2" borderId="8" xfId="0" applyBorder="1"/>
    <xf numFmtId="0" fontId="0" fillId="2" borderId="9" xfId="0" applyBorder="1"/>
    <xf numFmtId="0" fontId="9" fillId="4" borderId="53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center" vertical="center"/>
    </xf>
    <xf numFmtId="0" fontId="5" fillId="5" borderId="55" xfId="0" applyFont="1" applyFill="1" applyBorder="1" applyAlignment="1">
      <alignment horizontal="left" vertical="center"/>
    </xf>
    <xf numFmtId="0" fontId="5" fillId="5" borderId="55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left" vertical="center"/>
    </xf>
    <xf numFmtId="0" fontId="5" fillId="5" borderId="56" xfId="0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174" fontId="5" fillId="6" borderId="19" xfId="0" applyNumberFormat="1" applyFont="1" applyFill="1" applyBorder="1" applyAlignment="1">
      <alignment horizontal="center" vertical="center"/>
    </xf>
    <xf numFmtId="167" fontId="5" fillId="6" borderId="19" xfId="0" applyNumberFormat="1" applyFont="1" applyFill="1" applyBorder="1" applyAlignment="1">
      <alignment horizontal="center" vertical="center"/>
    </xf>
    <xf numFmtId="2" fontId="5" fillId="6" borderId="19" xfId="0" applyNumberFormat="1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1" fontId="5" fillId="7" borderId="19" xfId="0" applyNumberFormat="1" applyFont="1" applyFill="1" applyBorder="1" applyAlignment="1">
      <alignment horizontal="left" vertical="center"/>
    </xf>
    <xf numFmtId="0" fontId="5" fillId="7" borderId="19" xfId="0" applyFont="1" applyFill="1" applyBorder="1" applyAlignment="1">
      <alignment horizontal="left" vertical="center"/>
    </xf>
    <xf numFmtId="174" fontId="5" fillId="7" borderId="19" xfId="0" applyNumberFormat="1" applyFont="1" applyFill="1" applyBorder="1" applyAlignment="1">
      <alignment horizontal="center" vertical="center"/>
    </xf>
    <xf numFmtId="167" fontId="5" fillId="7" borderId="19" xfId="0" applyNumberFormat="1" applyFont="1" applyFill="1" applyBorder="1" applyAlignment="1">
      <alignment horizontal="center" vertical="center"/>
    </xf>
    <xf numFmtId="2" fontId="5" fillId="7" borderId="19" xfId="0" applyNumberFormat="1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3" fillId="2" borderId="1" xfId="0" applyFont="1" applyAlignment="1">
      <alignment horizontal="left" vertical="top"/>
    </xf>
    <xf numFmtId="2" fontId="4" fillId="2" borderId="1" xfId="0" applyNumberFormat="1" applyFont="1" applyAlignment="1">
      <alignment horizontal="left" vertical="top"/>
    </xf>
    <xf numFmtId="175" fontId="4" fillId="2" borderId="1" xfId="0" applyNumberFormat="1" applyFont="1" applyAlignment="1">
      <alignment horizontal="left" vertical="top"/>
    </xf>
    <xf numFmtId="0" fontId="12" fillId="2" borderId="57" xfId="0" applyFont="1" applyBorder="1"/>
    <xf numFmtId="0" fontId="12" fillId="2" borderId="58" xfId="0" applyFont="1" applyBorder="1"/>
    <xf numFmtId="0" fontId="5" fillId="2" borderId="38" xfId="0" applyFont="1" applyBorder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2" borderId="1" xfId="0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02060"/>
      <rgbColor rgb="FFFFFFC0"/>
      <rgbColor rgb="FFA0E0E0"/>
      <rgbColor rgb="FF600080"/>
      <rgbColor rgb="FFFF8080"/>
      <rgbColor rgb="FF0080C0"/>
      <rgbColor rgb="FFC0C0FF"/>
      <rgbColor rgb="FFFFCCCC"/>
      <rgbColor rgb="FFFF6600"/>
      <rgbColor rgb="FFFFCC00"/>
      <rgbColor rgb="FFCCFF00"/>
      <rgbColor rgb="FFCCCCFF"/>
      <rgbColor rgb="FFCC00FF"/>
      <rgbColor rgb="FFC0DCC0"/>
      <rgbColor rgb="FF006600"/>
      <rgbColor rgb="FF00CFFF"/>
      <rgbColor rgb="FF69FFFF"/>
      <rgbColor rgb="FFE0FFE0"/>
      <rgbColor rgb="FFFFFF80"/>
      <rgbColor rgb="FFA6CAF0"/>
      <rgbColor rgb="FFDD9CB3"/>
      <rgbColor rgb="FFB38FEE"/>
      <rgbColor rgb="FFE3E3E3"/>
      <rgbColor rgb="FF2A6FF9"/>
      <rgbColor rgb="FF3FB8CD"/>
      <rgbColor rgb="FF488436"/>
      <rgbColor rgb="FF958C41"/>
      <rgbColor rgb="FF8E5E42"/>
      <rgbColor rgb="FFA0627A"/>
      <rgbColor rgb="FF624FAC"/>
      <rgbColor rgb="FF969696"/>
      <rgbColor rgb="FF1D2FBE"/>
      <rgbColor rgb="FF286676"/>
      <rgbColor rgb="FF004500"/>
      <rgbColor rgb="FF453E01"/>
      <rgbColor rgb="FF6A2813"/>
      <rgbColor rgb="FF85396A"/>
      <rgbColor rgb="FF4A3285"/>
      <rgbColor rgb="FF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6960AB-0667-40BC-9123-91EC9AD8F41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0"/>
          <a:ext cx="739140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34</xdr:row>
      <xdr:rowOff>144145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19050</xdr:rowOff>
    </xdr:from>
    <xdr:to>
      <xdr:col>6</xdr:col>
      <xdr:colOff>0</xdr:colOff>
      <xdr:row>36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9525</xdr:colOff>
      <xdr:row>45</xdr:row>
      <xdr:rowOff>145415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7550" cy="40481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zoomScaleNormal="100" zoomScaleSheetLayoutView="100" workbookViewId="0">
      <selection sqref="A1:G1"/>
    </sheetView>
  </sheetViews>
  <sheetFormatPr defaultColWidth="9.140625" defaultRowHeight="12.75" x14ac:dyDescent="0.2"/>
  <cols>
    <col min="2" max="2" width="17.85546875" customWidth="1"/>
    <col min="3" max="3" width="8.42578125" customWidth="1"/>
    <col min="4" max="4" width="19.28515625" customWidth="1"/>
    <col min="5" max="5" width="8.140625" customWidth="1"/>
    <col min="6" max="6" width="20" customWidth="1"/>
    <col min="7" max="7" width="18.7109375" customWidth="1"/>
  </cols>
  <sheetData>
    <row r="1" spans="1:8" ht="21" x14ac:dyDescent="0.2">
      <c r="A1" s="237" t="s">
        <v>0</v>
      </c>
      <c r="B1" s="238"/>
      <c r="C1" s="238"/>
      <c r="D1" s="238"/>
      <c r="E1" s="238"/>
      <c r="F1" s="238"/>
      <c r="G1" s="239"/>
    </row>
    <row r="2" spans="1:8" x14ac:dyDescent="0.2">
      <c r="A2" s="5"/>
      <c r="B2" s="6"/>
      <c r="C2" s="6"/>
      <c r="D2" s="6"/>
      <c r="E2" s="6"/>
      <c r="F2" s="6"/>
      <c r="G2" s="7"/>
    </row>
    <row r="3" spans="1:8" ht="15.75" x14ac:dyDescent="0.2">
      <c r="A3" s="8" t="s">
        <v>1</v>
      </c>
      <c r="B3" s="9"/>
      <c r="C3" s="9"/>
      <c r="D3" s="9"/>
      <c r="E3" s="9"/>
      <c r="F3" s="9"/>
      <c r="G3" s="10"/>
      <c r="H3" s="3"/>
    </row>
    <row r="4" spans="1:8" x14ac:dyDescent="0.2">
      <c r="A4" s="11" t="s">
        <v>2</v>
      </c>
      <c r="B4" s="12"/>
      <c r="C4" s="13" t="s">
        <v>3</v>
      </c>
      <c r="D4" s="14"/>
      <c r="E4" s="14"/>
      <c r="F4" s="12" t="s">
        <v>4</v>
      </c>
      <c r="G4" s="15">
        <v>42865.586736805555</v>
      </c>
      <c r="H4" s="16"/>
    </row>
    <row r="5" spans="1:8" x14ac:dyDescent="0.2">
      <c r="A5" s="17" t="s">
        <v>5</v>
      </c>
      <c r="B5" s="18"/>
      <c r="C5" s="19" t="s">
        <v>6</v>
      </c>
      <c r="D5" s="2"/>
      <c r="E5" s="2"/>
      <c r="F5" s="18" t="s">
        <v>7</v>
      </c>
      <c r="G5" s="20" t="s">
        <v>8</v>
      </c>
      <c r="H5" s="16"/>
    </row>
    <row r="6" spans="1:8" x14ac:dyDescent="0.2">
      <c r="A6" s="17" t="s">
        <v>9</v>
      </c>
      <c r="B6" s="18"/>
      <c r="C6" s="19" t="s">
        <v>10</v>
      </c>
      <c r="D6" s="2"/>
      <c r="E6" s="2"/>
      <c r="F6" s="18" t="s">
        <v>11</v>
      </c>
      <c r="G6" s="21">
        <v>45015.525102340107</v>
      </c>
      <c r="H6" s="19"/>
    </row>
    <row r="7" spans="1:8" x14ac:dyDescent="0.2">
      <c r="A7" s="22" t="s">
        <v>12</v>
      </c>
      <c r="B7" s="23"/>
      <c r="C7" s="24">
        <v>7</v>
      </c>
      <c r="D7" s="25"/>
      <c r="E7" s="25"/>
      <c r="F7" s="23" t="s">
        <v>13</v>
      </c>
      <c r="G7" s="26" t="s">
        <v>14</v>
      </c>
      <c r="H7" s="27"/>
    </row>
    <row r="8" spans="1:8" x14ac:dyDescent="0.2">
      <c r="A8" s="18"/>
      <c r="B8" s="18"/>
      <c r="C8" s="19"/>
      <c r="D8" s="2"/>
      <c r="E8" s="2"/>
      <c r="F8" s="18"/>
      <c r="G8" s="28"/>
      <c r="H8" s="19"/>
    </row>
    <row r="9" spans="1:8" ht="15.75" x14ac:dyDescent="0.2">
      <c r="A9" s="29" t="s">
        <v>15</v>
      </c>
      <c r="B9" s="30"/>
      <c r="C9" s="30"/>
      <c r="D9" s="30"/>
      <c r="E9" s="30"/>
      <c r="F9" s="30"/>
      <c r="G9" s="31"/>
      <c r="H9" s="3"/>
    </row>
    <row r="10" spans="1:8" x14ac:dyDescent="0.2">
      <c r="A10" s="32" t="s">
        <v>16</v>
      </c>
      <c r="B10" s="32" t="s">
        <v>17</v>
      </c>
      <c r="C10" s="32" t="s">
        <v>18</v>
      </c>
      <c r="D10" s="32" t="s">
        <v>19</v>
      </c>
      <c r="E10" s="32" t="s">
        <v>20</v>
      </c>
      <c r="F10" s="32" t="s">
        <v>21</v>
      </c>
      <c r="G10" s="32" t="s">
        <v>22</v>
      </c>
    </row>
    <row r="11" spans="1:8" x14ac:dyDescent="0.2">
      <c r="A11" s="33" t="s">
        <v>23</v>
      </c>
      <c r="B11" s="33" t="s">
        <v>23</v>
      </c>
      <c r="C11" s="33" t="s">
        <v>23</v>
      </c>
      <c r="D11" s="33" t="s">
        <v>23</v>
      </c>
      <c r="E11" s="33" t="s">
        <v>23</v>
      </c>
      <c r="F11" s="33" t="s">
        <v>23</v>
      </c>
      <c r="G11" s="33" t="s">
        <v>23</v>
      </c>
    </row>
    <row r="12" spans="1:8" x14ac:dyDescent="0.2">
      <c r="A12" s="33" t="s">
        <v>23</v>
      </c>
      <c r="B12" s="33" t="s">
        <v>23</v>
      </c>
      <c r="C12" s="33" t="s">
        <v>23</v>
      </c>
      <c r="D12" s="33" t="s">
        <v>23</v>
      </c>
      <c r="E12" s="33" t="s">
        <v>23</v>
      </c>
      <c r="F12" s="33" t="s">
        <v>23</v>
      </c>
      <c r="G12" s="33" t="s">
        <v>23</v>
      </c>
    </row>
    <row r="13" spans="1:8" x14ac:dyDescent="0.2">
      <c r="A13" s="34" t="s">
        <v>23</v>
      </c>
      <c r="B13" s="34" t="s">
        <v>23</v>
      </c>
      <c r="C13" s="34" t="s">
        <v>23</v>
      </c>
      <c r="D13" s="34" t="s">
        <v>23</v>
      </c>
      <c r="E13" s="34" t="s">
        <v>23</v>
      </c>
      <c r="F13" s="34" t="s">
        <v>23</v>
      </c>
      <c r="G13" s="34" t="s">
        <v>23</v>
      </c>
    </row>
    <row r="14" spans="1:8" x14ac:dyDescent="0.2">
      <c r="A14" s="35">
        <v>1</v>
      </c>
      <c r="B14" s="36" t="s">
        <v>24</v>
      </c>
      <c r="C14" s="36" t="s">
        <v>25</v>
      </c>
      <c r="D14" s="36" t="s">
        <v>26</v>
      </c>
      <c r="E14" s="36" t="s">
        <v>27</v>
      </c>
      <c r="F14" s="37">
        <v>44754.551724537036</v>
      </c>
      <c r="G14" s="36" t="s">
        <v>28</v>
      </c>
    </row>
    <row r="15" spans="1:8" x14ac:dyDescent="0.2">
      <c r="A15" s="38">
        <v>2</v>
      </c>
      <c r="B15" s="39" t="s">
        <v>29</v>
      </c>
      <c r="C15" s="39" t="s">
        <v>25</v>
      </c>
      <c r="D15" s="39" t="s">
        <v>26</v>
      </c>
      <c r="E15" s="39" t="s">
        <v>27</v>
      </c>
      <c r="F15" s="40">
        <v>44754.552152777775</v>
      </c>
      <c r="G15" s="39" t="s">
        <v>28</v>
      </c>
    </row>
    <row r="16" spans="1:8" x14ac:dyDescent="0.2">
      <c r="A16" s="35">
        <v>3</v>
      </c>
      <c r="B16" s="36" t="s">
        <v>30</v>
      </c>
      <c r="C16" s="36" t="s">
        <v>25</v>
      </c>
      <c r="D16" s="36" t="s">
        <v>26</v>
      </c>
      <c r="E16" s="36" t="s">
        <v>27</v>
      </c>
      <c r="F16" s="37">
        <v>44754.55263888889</v>
      </c>
      <c r="G16" s="36" t="s">
        <v>28</v>
      </c>
    </row>
    <row r="17" spans="1:7" x14ac:dyDescent="0.2">
      <c r="A17" s="38">
        <v>4</v>
      </c>
      <c r="B17" s="39" t="s">
        <v>31</v>
      </c>
      <c r="C17" s="39" t="s">
        <v>25</v>
      </c>
      <c r="D17" s="39" t="s">
        <v>26</v>
      </c>
      <c r="E17" s="39" t="s">
        <v>27</v>
      </c>
      <c r="F17" s="40">
        <v>44754.553148148145</v>
      </c>
      <c r="G17" s="39" t="s">
        <v>28</v>
      </c>
    </row>
    <row r="18" spans="1:7" x14ac:dyDescent="0.2">
      <c r="A18" s="35">
        <v>5</v>
      </c>
      <c r="B18" s="36" t="s">
        <v>32</v>
      </c>
      <c r="C18" s="36" t="s">
        <v>25</v>
      </c>
      <c r="D18" s="36" t="s">
        <v>26</v>
      </c>
      <c r="E18" s="36" t="s">
        <v>27</v>
      </c>
      <c r="F18" s="37">
        <v>44754.553715277776</v>
      </c>
      <c r="G18" s="36" t="s">
        <v>28</v>
      </c>
    </row>
    <row r="19" spans="1:7" x14ac:dyDescent="0.2">
      <c r="A19" s="38">
        <v>6</v>
      </c>
      <c r="B19" s="39" t="s">
        <v>33</v>
      </c>
      <c r="C19" s="39" t="s">
        <v>25</v>
      </c>
      <c r="D19" s="39" t="s">
        <v>26</v>
      </c>
      <c r="E19" s="39" t="s">
        <v>27</v>
      </c>
      <c r="F19" s="40">
        <v>44754.5543287037</v>
      </c>
      <c r="G19" s="39" t="s">
        <v>28</v>
      </c>
    </row>
    <row r="20" spans="1:7" x14ac:dyDescent="0.2">
      <c r="A20" s="35">
        <v>7</v>
      </c>
      <c r="B20" s="36" t="s">
        <v>34</v>
      </c>
      <c r="C20" s="36" t="s">
        <v>35</v>
      </c>
      <c r="D20" s="36" t="s">
        <v>36</v>
      </c>
      <c r="E20" s="36" t="s">
        <v>23</v>
      </c>
      <c r="F20" s="37">
        <v>44754.554756944446</v>
      </c>
      <c r="G20" s="36" t="s">
        <v>28</v>
      </c>
    </row>
    <row r="21" spans="1:7" x14ac:dyDescent="0.2">
      <c r="A21" s="41"/>
      <c r="B21" s="41"/>
      <c r="C21" s="41"/>
      <c r="D21" s="41"/>
      <c r="E21" s="41"/>
      <c r="F21" s="41"/>
      <c r="G21" s="41"/>
    </row>
  </sheetData>
  <mergeCells count="1">
    <mergeCell ref="A1:G1"/>
  </mergeCells>
  <pageMargins left="0.75" right="0.75" top="1" bottom="1" header="0.5" footer="0.5"/>
  <pageSetup fitToHeight="9" orientation="portrait" r:id="rId1"/>
  <headerFooter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13"/>
  <sheetViews>
    <sheetView showOutlineSymbols="0" topLeftCell="A183" zoomScaleNormal="100" zoomScaleSheetLayoutView="100" workbookViewId="0">
      <selection activeCell="A40" sqref="A40:I213"/>
    </sheetView>
  </sheetViews>
  <sheetFormatPr defaultColWidth="9.140625" defaultRowHeight="12.75" customHeight="1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4.5703125" customWidth="1"/>
    <col min="9" max="9" width="15.85546875" customWidth="1"/>
  </cols>
  <sheetData>
    <row r="1" spans="1:8" ht="21" x14ac:dyDescent="0.2">
      <c r="A1" s="240" t="s">
        <v>37</v>
      </c>
      <c r="B1" s="241"/>
      <c r="C1" s="241"/>
      <c r="D1" s="241"/>
      <c r="E1" s="241"/>
      <c r="F1" s="241"/>
      <c r="G1" s="241"/>
      <c r="H1" s="242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46286.988888888889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23</v>
      </c>
      <c r="I42" s="61" t="s">
        <v>23</v>
      </c>
      <c r="J42" s="58"/>
    </row>
    <row r="43" spans="1:10" ht="12.75" hidden="1" customHeight="1" x14ac:dyDescent="0.2">
      <c r="A43" s="62" t="s">
        <v>71</v>
      </c>
      <c r="B43" s="63" t="s">
        <v>71</v>
      </c>
      <c r="C43" s="64" t="s">
        <v>71</v>
      </c>
      <c r="D43" s="64" t="s">
        <v>71</v>
      </c>
      <c r="E43" s="64" t="s">
        <v>71</v>
      </c>
      <c r="F43" s="64" t="s">
        <v>71</v>
      </c>
      <c r="G43" s="64" t="s">
        <v>71</v>
      </c>
      <c r="H43" s="64" t="s">
        <v>71</v>
      </c>
      <c r="I43" s="64" t="s">
        <v>71</v>
      </c>
      <c r="J43" s="58"/>
    </row>
    <row r="44" spans="1:10" ht="12.75" customHeight="1" x14ac:dyDescent="0.2">
      <c r="A44" s="65">
        <v>1</v>
      </c>
      <c r="B44" s="66" t="s">
        <v>72</v>
      </c>
      <c r="C44" s="67">
        <v>3.13835</v>
      </c>
      <c r="D44" s="68">
        <v>20.425066666666567</v>
      </c>
      <c r="E44" s="67">
        <v>1018.4135922330097</v>
      </c>
      <c r="F44" s="69">
        <v>8.789593748545604E-3</v>
      </c>
      <c r="G44" s="70">
        <v>1.83470993073508E-2</v>
      </c>
      <c r="H44" s="66" t="s">
        <v>73</v>
      </c>
      <c r="I44" s="66" t="s">
        <v>74</v>
      </c>
    </row>
    <row r="45" spans="1:10" ht="12.75" customHeight="1" x14ac:dyDescent="0.2">
      <c r="A45" s="71">
        <v>3</v>
      </c>
      <c r="B45" s="72" t="s">
        <v>75</v>
      </c>
      <c r="C45" s="73">
        <v>3.1955666666666667</v>
      </c>
      <c r="D45" s="74">
        <v>7.5202083333334144</v>
      </c>
      <c r="E45" s="73">
        <v>592.97523670793862</v>
      </c>
      <c r="F45" s="75">
        <v>3.2361987959775695E-3</v>
      </c>
      <c r="G45" s="76">
        <v>1.0682669239346946E-2</v>
      </c>
      <c r="H45" s="72" t="s">
        <v>76</v>
      </c>
      <c r="I45" s="72" t="s">
        <v>77</v>
      </c>
    </row>
    <row r="46" spans="1:10" ht="12.75" customHeight="1" x14ac:dyDescent="0.2">
      <c r="A46" s="71">
        <v>5</v>
      </c>
      <c r="B46" s="72" t="s">
        <v>78</v>
      </c>
      <c r="C46" s="73">
        <v>3.3157333333333332</v>
      </c>
      <c r="D46" s="74">
        <v>5.4255210598704764</v>
      </c>
      <c r="E46" s="73">
        <v>332.58155339805307</v>
      </c>
      <c r="F46" s="75">
        <v>2.3347843494810438E-3</v>
      </c>
      <c r="G46" s="76">
        <v>5.9915802720266285E-3</v>
      </c>
      <c r="H46" s="72" t="s">
        <v>79</v>
      </c>
      <c r="I46" s="72" t="s">
        <v>80</v>
      </c>
    </row>
    <row r="47" spans="1:10" ht="12.75" customHeight="1" x14ac:dyDescent="0.2">
      <c r="A47" s="71">
        <v>7</v>
      </c>
      <c r="B47" s="72" t="s">
        <v>75</v>
      </c>
      <c r="C47" s="73">
        <v>3.3443499999999999</v>
      </c>
      <c r="D47" s="74">
        <v>2.7179083333332414</v>
      </c>
      <c r="E47" s="73">
        <v>268.10839160838668</v>
      </c>
      <c r="F47" s="75">
        <v>1.169607447831389E-3</v>
      </c>
      <c r="G47" s="76">
        <v>4.8300723041093448E-3</v>
      </c>
      <c r="H47" s="72" t="s">
        <v>76</v>
      </c>
      <c r="I47" s="72" t="s">
        <v>77</v>
      </c>
    </row>
    <row r="48" spans="1:10" ht="12.75" customHeight="1" x14ac:dyDescent="0.2">
      <c r="A48" s="71">
        <v>10</v>
      </c>
      <c r="B48" s="72" t="s">
        <v>78</v>
      </c>
      <c r="C48" s="73">
        <v>3.52745</v>
      </c>
      <c r="D48" s="74">
        <v>5.0184250000000077</v>
      </c>
      <c r="E48" s="73">
        <v>259.02427184466035</v>
      </c>
      <c r="F48" s="75">
        <v>2.1595972109864311E-3</v>
      </c>
      <c r="G48" s="76">
        <v>4.6664185108999338E-3</v>
      </c>
      <c r="H48" s="72" t="s">
        <v>79</v>
      </c>
      <c r="I48" s="72" t="s">
        <v>80</v>
      </c>
    </row>
    <row r="49" spans="1:9" ht="12.75" customHeight="1" x14ac:dyDescent="0.2">
      <c r="A49" s="71">
        <v>3</v>
      </c>
      <c r="B49" s="72" t="s">
        <v>78</v>
      </c>
      <c r="C49" s="73">
        <v>3.6075500000000003</v>
      </c>
      <c r="D49" s="74">
        <v>7.1137249999999739</v>
      </c>
      <c r="E49" s="73">
        <v>421.33592233009693</v>
      </c>
      <c r="F49" s="75">
        <v>3.0612753343378391E-3</v>
      </c>
      <c r="G49" s="76">
        <v>7.5905232095290669E-3</v>
      </c>
      <c r="H49" s="72" t="s">
        <v>79</v>
      </c>
      <c r="I49" s="72" t="s">
        <v>80</v>
      </c>
    </row>
    <row r="50" spans="1:9" ht="12.75" customHeight="1" x14ac:dyDescent="0.2">
      <c r="A50" s="71">
        <v>4</v>
      </c>
      <c r="B50" s="72" t="s">
        <v>78</v>
      </c>
      <c r="C50" s="73">
        <v>3.6705000000000001</v>
      </c>
      <c r="D50" s="74">
        <v>6.931158333333336</v>
      </c>
      <c r="E50" s="73">
        <v>251.59598019225166</v>
      </c>
      <c r="F50" s="75">
        <v>2.9827107519933066E-3</v>
      </c>
      <c r="G50" s="76">
        <v>4.5325950764229066E-3</v>
      </c>
      <c r="H50" s="72" t="s">
        <v>79</v>
      </c>
      <c r="I50" s="72" t="s">
        <v>80</v>
      </c>
    </row>
    <row r="51" spans="1:9" ht="12.75" customHeight="1" x14ac:dyDescent="0.2">
      <c r="A51" s="71">
        <v>12</v>
      </c>
      <c r="B51" s="72" t="s">
        <v>81</v>
      </c>
      <c r="C51" s="73">
        <v>3.8936500000000001</v>
      </c>
      <c r="D51" s="74">
        <v>316.5036416666664</v>
      </c>
      <c r="E51" s="73">
        <v>3300</v>
      </c>
      <c r="F51" s="75">
        <v>0.13620217136061225</v>
      </c>
      <c r="G51" s="76">
        <v>5.9450726282534769E-2</v>
      </c>
      <c r="H51" s="72" t="s">
        <v>23</v>
      </c>
      <c r="I51" s="72" t="s">
        <v>82</v>
      </c>
    </row>
    <row r="52" spans="1:9" ht="12.75" customHeight="1" x14ac:dyDescent="0.2">
      <c r="A52" s="71">
        <v>6</v>
      </c>
      <c r="B52" s="72" t="s">
        <v>83</v>
      </c>
      <c r="C52" s="73">
        <v>4.0653166666666669</v>
      </c>
      <c r="D52" s="74">
        <v>1.1962833333333194</v>
      </c>
      <c r="E52" s="73">
        <v>88.400116482236456</v>
      </c>
      <c r="F52" s="75">
        <v>5.1480098840097905E-4</v>
      </c>
      <c r="G52" s="76">
        <v>1.5925609479786758E-3</v>
      </c>
      <c r="H52" s="72" t="s">
        <v>84</v>
      </c>
      <c r="I52" s="72" t="s">
        <v>85</v>
      </c>
    </row>
    <row r="53" spans="1:9" ht="12.75" customHeight="1" x14ac:dyDescent="0.2">
      <c r="A53" s="71">
        <v>6</v>
      </c>
      <c r="B53" s="72" t="s">
        <v>86</v>
      </c>
      <c r="C53" s="73">
        <v>4.2484166666666665</v>
      </c>
      <c r="D53" s="74">
        <v>3.3858666666667219</v>
      </c>
      <c r="E53" s="73">
        <v>400</v>
      </c>
      <c r="F53" s="75">
        <v>1.4570524039126548E-3</v>
      </c>
      <c r="G53" s="76">
        <v>7.2061486403072446E-3</v>
      </c>
      <c r="H53" s="72" t="s">
        <v>23</v>
      </c>
      <c r="I53" s="72" t="s">
        <v>87</v>
      </c>
    </row>
    <row r="54" spans="1:9" ht="12.75" customHeight="1" x14ac:dyDescent="0.2">
      <c r="A54" s="71">
        <v>15</v>
      </c>
      <c r="B54" s="72" t="s">
        <v>88</v>
      </c>
      <c r="C54" s="73">
        <v>4.5516833333333331</v>
      </c>
      <c r="D54" s="74">
        <v>1.9836833333333108</v>
      </c>
      <c r="E54" s="73">
        <v>181</v>
      </c>
      <c r="F54" s="75">
        <v>8.5364571437191524E-4</v>
      </c>
      <c r="G54" s="76">
        <v>3.2607822597390283E-3</v>
      </c>
      <c r="H54" s="72" t="s">
        <v>23</v>
      </c>
      <c r="I54" s="72" t="s">
        <v>89</v>
      </c>
    </row>
    <row r="55" spans="1:9" ht="12.75" customHeight="1" x14ac:dyDescent="0.2">
      <c r="A55" s="71">
        <v>3</v>
      </c>
      <c r="B55" s="72" t="s">
        <v>90</v>
      </c>
      <c r="C55" s="73">
        <v>5.2154333333333334</v>
      </c>
      <c r="D55" s="74">
        <v>51.286022274198295</v>
      </c>
      <c r="E55" s="73">
        <v>1159.0909090909097</v>
      </c>
      <c r="F55" s="75">
        <v>2.207010180802671E-2</v>
      </c>
      <c r="G55" s="76">
        <v>2.0881453446344869E-2</v>
      </c>
      <c r="H55" s="72" t="s">
        <v>91</v>
      </c>
      <c r="I55" s="72" t="s">
        <v>92</v>
      </c>
    </row>
    <row r="56" spans="1:9" ht="12.75" customHeight="1" x14ac:dyDescent="0.2">
      <c r="A56" s="71">
        <v>2</v>
      </c>
      <c r="B56" s="72" t="s">
        <v>93</v>
      </c>
      <c r="C56" s="73">
        <v>5.2211499999999997</v>
      </c>
      <c r="D56" s="74">
        <v>144.17027612703956</v>
      </c>
      <c r="E56" s="73">
        <v>1416.2574104746132</v>
      </c>
      <c r="F56" s="75">
        <v>6.2041322971071164E-2</v>
      </c>
      <c r="G56" s="76">
        <v>2.5514403532041732E-2</v>
      </c>
      <c r="H56" s="72" t="s">
        <v>23</v>
      </c>
      <c r="I56" s="72" t="s">
        <v>94</v>
      </c>
    </row>
    <row r="57" spans="1:9" ht="12.75" customHeight="1" x14ac:dyDescent="0.2">
      <c r="A57" s="71">
        <v>3</v>
      </c>
      <c r="B57" s="72" t="s">
        <v>93</v>
      </c>
      <c r="C57" s="73">
        <v>5.3127000000000004</v>
      </c>
      <c r="D57" s="74">
        <v>61.616107206293705</v>
      </c>
      <c r="E57" s="73">
        <v>820.0615112227996</v>
      </c>
      <c r="F57" s="75">
        <v>2.6515485092345234E-2</v>
      </c>
      <c r="G57" s="76">
        <v>1.4773712860166203E-2</v>
      </c>
      <c r="H57" s="72" t="s">
        <v>23</v>
      </c>
      <c r="I57" s="72" t="s">
        <v>94</v>
      </c>
    </row>
    <row r="58" spans="1:9" ht="12.75" customHeight="1" x14ac:dyDescent="0.2">
      <c r="A58" s="71">
        <v>3</v>
      </c>
      <c r="B58" s="72" t="s">
        <v>93</v>
      </c>
      <c r="C58" s="73">
        <v>5.3127000000000004</v>
      </c>
      <c r="D58" s="74">
        <v>61.616107206293705</v>
      </c>
      <c r="E58" s="73">
        <v>820.0615112227996</v>
      </c>
      <c r="F58" s="75">
        <v>2.6515485092345234E-2</v>
      </c>
      <c r="G58" s="76">
        <v>1.4773712860166203E-2</v>
      </c>
      <c r="H58" s="72" t="s">
        <v>23</v>
      </c>
      <c r="I58" s="72" t="s">
        <v>94</v>
      </c>
    </row>
    <row r="59" spans="1:9" ht="12.75" customHeight="1" x14ac:dyDescent="0.2">
      <c r="A59" s="71">
        <v>2</v>
      </c>
      <c r="B59" s="72" t="s">
        <v>95</v>
      </c>
      <c r="C59" s="73">
        <v>6.6459166666666665</v>
      </c>
      <c r="D59" s="74">
        <v>0.85874999999999702</v>
      </c>
      <c r="E59" s="73">
        <v>150</v>
      </c>
      <c r="F59" s="75">
        <v>3.6954903280104584E-4</v>
      </c>
      <c r="G59" s="76">
        <v>2.7023057401152168E-3</v>
      </c>
      <c r="H59" s="72" t="s">
        <v>23</v>
      </c>
      <c r="I59" s="72" t="s">
        <v>96</v>
      </c>
    </row>
    <row r="60" spans="1:9" ht="12.75" customHeight="1" x14ac:dyDescent="0.2">
      <c r="A60" s="71">
        <v>2</v>
      </c>
      <c r="B60" s="72" t="s">
        <v>97</v>
      </c>
      <c r="C60" s="73">
        <v>6.8919666666666668</v>
      </c>
      <c r="D60" s="74">
        <v>99.514233333332712</v>
      </c>
      <c r="E60" s="73">
        <v>2814</v>
      </c>
      <c r="F60" s="75">
        <v>4.2824324516181456E-2</v>
      </c>
      <c r="G60" s="76">
        <v>5.0695255684561465E-2</v>
      </c>
      <c r="H60" s="72" t="s">
        <v>23</v>
      </c>
      <c r="I60" s="72" t="s">
        <v>98</v>
      </c>
    </row>
    <row r="61" spans="1:9" ht="12.75" customHeight="1" x14ac:dyDescent="0.2">
      <c r="A61" s="71">
        <v>3</v>
      </c>
      <c r="B61" s="72" t="s">
        <v>99</v>
      </c>
      <c r="C61" s="73">
        <v>7.0064000000000002</v>
      </c>
      <c r="D61" s="74">
        <v>6.7114416666666363</v>
      </c>
      <c r="E61" s="73">
        <v>290</v>
      </c>
      <c r="F61" s="75">
        <v>2.8881592740812845E-3</v>
      </c>
      <c r="G61" s="76">
        <v>5.224457764222752E-3</v>
      </c>
      <c r="H61" s="72" t="s">
        <v>23</v>
      </c>
      <c r="I61" s="72" t="s">
        <v>100</v>
      </c>
    </row>
    <row r="62" spans="1:9" ht="12.75" customHeight="1" x14ac:dyDescent="0.2">
      <c r="A62" s="71">
        <v>9</v>
      </c>
      <c r="B62" s="72" t="s">
        <v>101</v>
      </c>
      <c r="C62" s="73">
        <v>7.1093999999999999</v>
      </c>
      <c r="D62" s="74">
        <v>1.0690166666666943</v>
      </c>
      <c r="E62" s="73">
        <v>187</v>
      </c>
      <c r="F62" s="75">
        <v>4.6003385760102036E-4</v>
      </c>
      <c r="G62" s="76">
        <v>3.3688744893436368E-3</v>
      </c>
      <c r="H62" s="72" t="s">
        <v>23</v>
      </c>
      <c r="I62" s="72" t="s">
        <v>102</v>
      </c>
    </row>
    <row r="63" spans="1:9" ht="12.75" customHeight="1" x14ac:dyDescent="0.2">
      <c r="A63" s="71">
        <v>1</v>
      </c>
      <c r="B63" s="72" t="s">
        <v>103</v>
      </c>
      <c r="C63" s="73">
        <v>7.3039500000000004</v>
      </c>
      <c r="D63" s="74">
        <v>5.8821166666667102</v>
      </c>
      <c r="E63" s="73">
        <v>382</v>
      </c>
      <c r="F63" s="75">
        <v>2.5312728093037579E-3</v>
      </c>
      <c r="G63" s="76">
        <v>6.8818719514934183E-3</v>
      </c>
      <c r="H63" s="72" t="s">
        <v>23</v>
      </c>
      <c r="I63" s="72" t="s">
        <v>104</v>
      </c>
    </row>
    <row r="64" spans="1:9" ht="12.75" customHeight="1" x14ac:dyDescent="0.2">
      <c r="A64" s="71">
        <v>8</v>
      </c>
      <c r="B64" s="72" t="s">
        <v>105</v>
      </c>
      <c r="C64" s="73">
        <v>7.567166666666667</v>
      </c>
      <c r="D64" s="74">
        <v>192.28308416252614</v>
      </c>
      <c r="E64" s="73">
        <v>3054.383106313715</v>
      </c>
      <c r="F64" s="75">
        <v>8.2745883873378598E-2</v>
      </c>
      <c r="G64" s="76">
        <v>5.5025846671349993E-2</v>
      </c>
      <c r="H64" s="72" t="s">
        <v>106</v>
      </c>
      <c r="I64" s="72" t="s">
        <v>107</v>
      </c>
    </row>
    <row r="65" spans="1:9" ht="12.75" customHeight="1" x14ac:dyDescent="0.2">
      <c r="A65" s="71">
        <v>11</v>
      </c>
      <c r="B65" s="72" t="s">
        <v>108</v>
      </c>
      <c r="C65" s="73">
        <v>7.6930500000000004</v>
      </c>
      <c r="D65" s="74">
        <v>0.91599999999999682</v>
      </c>
      <c r="E65" s="73">
        <v>160</v>
      </c>
      <c r="F65" s="75">
        <v>3.9418563498778221E-4</v>
      </c>
      <c r="G65" s="76">
        <v>2.8824594561228977E-3</v>
      </c>
      <c r="H65" s="72" t="s">
        <v>23</v>
      </c>
      <c r="I65" s="72" t="s">
        <v>109</v>
      </c>
    </row>
    <row r="66" spans="1:9" ht="12.75" customHeight="1" x14ac:dyDescent="0.2">
      <c r="A66" s="71">
        <v>9</v>
      </c>
      <c r="B66" s="72" t="s">
        <v>110</v>
      </c>
      <c r="C66" s="73">
        <v>7.8017666666666665</v>
      </c>
      <c r="D66" s="74">
        <v>3.8349500000000027</v>
      </c>
      <c r="E66" s="73">
        <v>248.59580663948782</v>
      </c>
      <c r="F66" s="75">
        <v>1.6503080795812247E-3</v>
      </c>
      <c r="G66" s="76">
        <v>4.4785458350030697E-3</v>
      </c>
      <c r="H66" s="72" t="s">
        <v>111</v>
      </c>
      <c r="I66" s="72" t="s">
        <v>112</v>
      </c>
    </row>
    <row r="67" spans="1:9" ht="12.75" customHeight="1" x14ac:dyDescent="0.2">
      <c r="A67" s="71">
        <v>6</v>
      </c>
      <c r="B67" s="72" t="s">
        <v>110</v>
      </c>
      <c r="C67" s="73">
        <v>7.8875833333333336</v>
      </c>
      <c r="D67" s="74">
        <v>8.5167083333334261</v>
      </c>
      <c r="E67" s="73">
        <v>266.65495145631155</v>
      </c>
      <c r="F67" s="75">
        <v>3.665026290808717E-3</v>
      </c>
      <c r="G67" s="76">
        <v>4.8038880396702342E-3</v>
      </c>
      <c r="H67" s="72" t="s">
        <v>111</v>
      </c>
      <c r="I67" s="72" t="s">
        <v>112</v>
      </c>
    </row>
    <row r="68" spans="1:9" ht="12.75" customHeight="1" x14ac:dyDescent="0.2">
      <c r="A68" s="71">
        <v>7</v>
      </c>
      <c r="B68" s="72" t="s">
        <v>113</v>
      </c>
      <c r="C68" s="73">
        <v>8.0134666666666661</v>
      </c>
      <c r="D68" s="74">
        <v>5.9007249999999214</v>
      </c>
      <c r="E68" s="73">
        <v>407.40574282147242</v>
      </c>
      <c r="F68" s="75">
        <v>2.5392806015428586E-3</v>
      </c>
      <c r="G68" s="76">
        <v>7.3395658492157916E-3</v>
      </c>
      <c r="H68" s="72" t="s">
        <v>114</v>
      </c>
      <c r="I68" s="72" t="s">
        <v>115</v>
      </c>
    </row>
    <row r="69" spans="1:9" ht="12.75" customHeight="1" x14ac:dyDescent="0.2">
      <c r="A69" s="71">
        <v>5</v>
      </c>
      <c r="B69" s="72" t="s">
        <v>116</v>
      </c>
      <c r="C69" s="73">
        <v>8.0707000000000004</v>
      </c>
      <c r="D69" s="74">
        <v>6.8110833333332543</v>
      </c>
      <c r="E69" s="73">
        <v>236</v>
      </c>
      <c r="F69" s="75">
        <v>2.9310384374505219E-3</v>
      </c>
      <c r="G69" s="76">
        <v>4.2516276977812746E-3</v>
      </c>
      <c r="H69" s="72" t="s">
        <v>23</v>
      </c>
      <c r="I69" s="72" t="s">
        <v>117</v>
      </c>
    </row>
    <row r="70" spans="1:9" ht="12.75" customHeight="1" x14ac:dyDescent="0.2">
      <c r="A70" s="71">
        <v>8</v>
      </c>
      <c r="B70" s="72" t="s">
        <v>116</v>
      </c>
      <c r="C70" s="73">
        <v>8.1565166666666666</v>
      </c>
      <c r="D70" s="74">
        <v>6.4084166666665254</v>
      </c>
      <c r="E70" s="73">
        <v>312</v>
      </c>
      <c r="F70" s="75">
        <v>2.7577574159565938E-3</v>
      </c>
      <c r="G70" s="76">
        <v>5.6207959394396507E-3</v>
      </c>
      <c r="H70" s="72" t="s">
        <v>23</v>
      </c>
      <c r="I70" s="72" t="s">
        <v>117</v>
      </c>
    </row>
    <row r="71" spans="1:9" ht="12.75" customHeight="1" x14ac:dyDescent="0.2">
      <c r="A71" s="71">
        <v>2</v>
      </c>
      <c r="B71" s="72" t="s">
        <v>118</v>
      </c>
      <c r="C71" s="73">
        <v>8.173683333333333</v>
      </c>
      <c r="D71" s="74">
        <v>9.9054499999998153</v>
      </c>
      <c r="E71" s="73">
        <v>504</v>
      </c>
      <c r="F71" s="75">
        <v>4.2626485787005111E-3</v>
      </c>
      <c r="G71" s="76">
        <v>9.0797472867871279E-3</v>
      </c>
      <c r="H71" s="72" t="s">
        <v>119</v>
      </c>
      <c r="I71" s="72" t="s">
        <v>120</v>
      </c>
    </row>
    <row r="72" spans="1:9" ht="12.75" customHeight="1" x14ac:dyDescent="0.2">
      <c r="A72" s="71">
        <v>2</v>
      </c>
      <c r="B72" s="72" t="s">
        <v>121</v>
      </c>
      <c r="C72" s="73">
        <v>8.3682333333333343</v>
      </c>
      <c r="D72" s="74">
        <v>28.650875000001058</v>
      </c>
      <c r="E72" s="73">
        <v>1116</v>
      </c>
      <c r="F72" s="75">
        <v>1.232943597688977E-2</v>
      </c>
      <c r="G72" s="76">
        <v>2.0105154706457212E-2</v>
      </c>
      <c r="H72" s="72" t="s">
        <v>122</v>
      </c>
      <c r="I72" s="72" t="s">
        <v>123</v>
      </c>
    </row>
    <row r="73" spans="1:9" ht="12.75" customHeight="1" x14ac:dyDescent="0.2">
      <c r="A73" s="71">
        <v>10</v>
      </c>
      <c r="B73" s="72" t="s">
        <v>124</v>
      </c>
      <c r="C73" s="73">
        <v>8.4311833333333333</v>
      </c>
      <c r="D73" s="74">
        <v>5.2575999999998597</v>
      </c>
      <c r="E73" s="73">
        <v>271</v>
      </c>
      <c r="F73" s="75">
        <v>2.2625222647507815E-3</v>
      </c>
      <c r="G73" s="76">
        <v>4.8821657038081584E-3</v>
      </c>
      <c r="H73" s="72" t="s">
        <v>23</v>
      </c>
      <c r="I73" s="72" t="s">
        <v>125</v>
      </c>
    </row>
    <row r="74" spans="1:9" ht="12.75" customHeight="1" x14ac:dyDescent="0.2">
      <c r="A74" s="71">
        <v>3</v>
      </c>
      <c r="B74" s="72" t="s">
        <v>126</v>
      </c>
      <c r="C74" s="73">
        <v>8.4655166666666677</v>
      </c>
      <c r="D74" s="74">
        <v>32.118574999999616</v>
      </c>
      <c r="E74" s="73">
        <v>1258</v>
      </c>
      <c r="F74" s="75">
        <v>1.3821704018862008E-2</v>
      </c>
      <c r="G74" s="76">
        <v>2.2663337473766285E-2</v>
      </c>
      <c r="H74" s="72" t="s">
        <v>23</v>
      </c>
      <c r="I74" s="72" t="s">
        <v>127</v>
      </c>
    </row>
    <row r="75" spans="1:9" ht="12.75" customHeight="1" x14ac:dyDescent="0.2">
      <c r="A75" s="71">
        <v>13</v>
      </c>
      <c r="B75" s="72" t="s">
        <v>128</v>
      </c>
      <c r="C75" s="73">
        <v>8.5513333333333339</v>
      </c>
      <c r="D75" s="74">
        <v>115.77995000000122</v>
      </c>
      <c r="E75" s="73">
        <v>4547.4999999999991</v>
      </c>
      <c r="F75" s="75">
        <v>4.9824009944982879E-2</v>
      </c>
      <c r="G75" s="76">
        <v>8.1924902354492971E-2</v>
      </c>
      <c r="H75" s="72" t="s">
        <v>129</v>
      </c>
      <c r="I75" s="72" t="s">
        <v>130</v>
      </c>
    </row>
    <row r="76" spans="1:9" ht="12.75" customHeight="1" x14ac:dyDescent="0.2">
      <c r="A76" s="71">
        <v>5</v>
      </c>
      <c r="B76" s="72" t="s">
        <v>124</v>
      </c>
      <c r="C76" s="73">
        <v>8.631450000000001</v>
      </c>
      <c r="D76" s="74">
        <v>3.436066666666596</v>
      </c>
      <c r="E76" s="73">
        <v>220.49016751638715</v>
      </c>
      <c r="F76" s="75">
        <v>1.4786551537776516E-3</v>
      </c>
      <c r="G76" s="76">
        <v>3.9722123021233248E-3</v>
      </c>
      <c r="H76" s="72" t="s">
        <v>23</v>
      </c>
      <c r="I76" s="72" t="s">
        <v>125</v>
      </c>
    </row>
    <row r="77" spans="1:9" ht="12.75" customHeight="1" x14ac:dyDescent="0.2">
      <c r="A77" s="71">
        <v>14</v>
      </c>
      <c r="B77" s="72" t="s">
        <v>131</v>
      </c>
      <c r="C77" s="73">
        <v>8.6943833333333327</v>
      </c>
      <c r="D77" s="74">
        <v>11.191122661074436</v>
      </c>
      <c r="E77" s="73">
        <v>277.99021321216264</v>
      </c>
      <c r="F77" s="75">
        <v>4.815916803910263E-3</v>
      </c>
      <c r="G77" s="76">
        <v>5.0080969923938668E-3</v>
      </c>
      <c r="H77" s="72" t="s">
        <v>23</v>
      </c>
      <c r="I77" s="72" t="s">
        <v>132</v>
      </c>
    </row>
    <row r="78" spans="1:9" ht="12.75" customHeight="1" x14ac:dyDescent="0.2">
      <c r="A78" s="71">
        <v>11</v>
      </c>
      <c r="B78" s="72" t="s">
        <v>133</v>
      </c>
      <c r="C78" s="73">
        <v>8.7802166666666661</v>
      </c>
      <c r="D78" s="74">
        <v>2.1280916666667773</v>
      </c>
      <c r="E78" s="73">
        <v>193</v>
      </c>
      <c r="F78" s="75">
        <v>9.1578948137254835E-4</v>
      </c>
      <c r="G78" s="76">
        <v>3.4769667189482453E-3</v>
      </c>
      <c r="H78" s="72" t="s">
        <v>23</v>
      </c>
      <c r="I78" s="72" t="s">
        <v>134</v>
      </c>
    </row>
    <row r="79" spans="1:9" ht="12.75" customHeight="1" x14ac:dyDescent="0.2">
      <c r="A79" s="71">
        <v>2</v>
      </c>
      <c r="B79" s="72" t="s">
        <v>135</v>
      </c>
      <c r="C79" s="73">
        <v>8.7916666666666661</v>
      </c>
      <c r="D79" s="74">
        <v>12.876216666666732</v>
      </c>
      <c r="E79" s="73">
        <v>481</v>
      </c>
      <c r="F79" s="75">
        <v>5.5410694792470613E-3</v>
      </c>
      <c r="G79" s="76">
        <v>8.6653937399694611E-3</v>
      </c>
      <c r="H79" s="72" t="s">
        <v>23</v>
      </c>
      <c r="I79" s="72" t="s">
        <v>136</v>
      </c>
    </row>
    <row r="80" spans="1:9" ht="12.75" customHeight="1" x14ac:dyDescent="0.2">
      <c r="A80" s="71">
        <v>7</v>
      </c>
      <c r="B80" s="72" t="s">
        <v>137</v>
      </c>
      <c r="C80" s="73">
        <v>8.9690499999999993</v>
      </c>
      <c r="D80" s="74">
        <v>3.4974000000000292</v>
      </c>
      <c r="E80" s="73">
        <v>235.0064065230041</v>
      </c>
      <c r="F80" s="75">
        <v>1.5050489517535871E-3</v>
      </c>
      <c r="G80" s="76">
        <v>4.2337277420730944E-3</v>
      </c>
      <c r="H80" s="72" t="s">
        <v>23</v>
      </c>
      <c r="I80" s="72" t="s">
        <v>138</v>
      </c>
    </row>
    <row r="81" spans="1:9" ht="12.75" customHeight="1" x14ac:dyDescent="0.2">
      <c r="A81" s="71">
        <v>6</v>
      </c>
      <c r="B81" s="72" t="s">
        <v>139</v>
      </c>
      <c r="C81" s="73">
        <v>9.0033666666666665</v>
      </c>
      <c r="D81" s="74">
        <v>3.2350999999999104</v>
      </c>
      <c r="E81" s="73">
        <v>251.27021121631532</v>
      </c>
      <c r="F81" s="75">
        <v>1.3921724320403309E-3</v>
      </c>
      <c r="G81" s="76">
        <v>4.5267262272654122E-3</v>
      </c>
      <c r="H81" s="72" t="s">
        <v>23</v>
      </c>
      <c r="I81" s="72" t="s">
        <v>140</v>
      </c>
    </row>
    <row r="82" spans="1:9" ht="12.75" customHeight="1" x14ac:dyDescent="0.2">
      <c r="A82" s="71">
        <v>7</v>
      </c>
      <c r="B82" s="72" t="s">
        <v>141</v>
      </c>
      <c r="C82" s="73">
        <v>9.0720333333333336</v>
      </c>
      <c r="D82" s="74">
        <v>14.297133333333385</v>
      </c>
      <c r="E82" s="73">
        <v>311.92906178489693</v>
      </c>
      <c r="F82" s="75">
        <v>6.1525377527347457E-3</v>
      </c>
      <c r="G82" s="76">
        <v>5.6195179611338731E-3</v>
      </c>
      <c r="H82" s="72" t="s">
        <v>23</v>
      </c>
      <c r="I82" s="72" t="s">
        <v>142</v>
      </c>
    </row>
    <row r="83" spans="1:9" ht="12.75" customHeight="1" x14ac:dyDescent="0.2">
      <c r="A83" s="71">
        <v>9</v>
      </c>
      <c r="B83" s="72" t="s">
        <v>143</v>
      </c>
      <c r="C83" s="73">
        <v>9.1635833333333334</v>
      </c>
      <c r="D83" s="74">
        <v>10.590824999999988</v>
      </c>
      <c r="E83" s="73">
        <v>297.22697736948243</v>
      </c>
      <c r="F83" s="75">
        <v>4.557588512739616E-3</v>
      </c>
      <c r="G83" s="76">
        <v>5.3546544470843196E-3</v>
      </c>
      <c r="H83" s="72" t="s">
        <v>23</v>
      </c>
      <c r="I83" s="72" t="s">
        <v>144</v>
      </c>
    </row>
    <row r="84" spans="1:9" ht="12.75" customHeight="1" x14ac:dyDescent="0.2">
      <c r="A84" s="71">
        <v>12</v>
      </c>
      <c r="B84" s="72" t="s">
        <v>145</v>
      </c>
      <c r="C84" s="73">
        <v>9.2837499999999995</v>
      </c>
      <c r="D84" s="74">
        <v>2.7386250000002423</v>
      </c>
      <c r="E84" s="73">
        <v>312.32718446601984</v>
      </c>
      <c r="F84" s="75">
        <v>1.1785225268761074E-3</v>
      </c>
      <c r="G84" s="76">
        <v>5.6266902891769967E-3</v>
      </c>
      <c r="H84" s="72" t="s">
        <v>146</v>
      </c>
      <c r="I84" s="72" t="s">
        <v>147</v>
      </c>
    </row>
    <row r="85" spans="1:9" ht="12.75" customHeight="1" x14ac:dyDescent="0.2">
      <c r="A85" s="71">
        <v>6</v>
      </c>
      <c r="B85" s="72" t="s">
        <v>148</v>
      </c>
      <c r="C85" s="73">
        <v>9.3009166666666676</v>
      </c>
      <c r="D85" s="74">
        <v>1.4423000000001238</v>
      </c>
      <c r="E85" s="73">
        <v>48</v>
      </c>
      <c r="F85" s="75">
        <v>6.2067024164075225E-4</v>
      </c>
      <c r="G85" s="76">
        <v>8.647378368368693E-4</v>
      </c>
      <c r="H85" s="72" t="s">
        <v>149</v>
      </c>
      <c r="I85" s="72" t="s">
        <v>150</v>
      </c>
    </row>
    <row r="86" spans="1:9" ht="12.75" customHeight="1" x14ac:dyDescent="0.2">
      <c r="A86" s="71">
        <v>9</v>
      </c>
      <c r="B86" s="72" t="s">
        <v>145</v>
      </c>
      <c r="C86" s="73">
        <v>9.43825</v>
      </c>
      <c r="D86" s="74">
        <v>13.125274999999888</v>
      </c>
      <c r="E86" s="73">
        <v>297.4119259766963</v>
      </c>
      <c r="F86" s="75">
        <v>5.648247664043927E-3</v>
      </c>
      <c r="G86" s="76">
        <v>5.3579863649703225E-3</v>
      </c>
      <c r="H86" s="72" t="s">
        <v>146</v>
      </c>
      <c r="I86" s="72" t="s">
        <v>147</v>
      </c>
    </row>
    <row r="87" spans="1:9" ht="12.75" customHeight="1" x14ac:dyDescent="0.2">
      <c r="A87" s="71">
        <v>10</v>
      </c>
      <c r="B87" s="72" t="s">
        <v>145</v>
      </c>
      <c r="C87" s="73">
        <v>9.43825</v>
      </c>
      <c r="D87" s="74">
        <v>13.125274999999888</v>
      </c>
      <c r="E87" s="73">
        <v>297.4119259766963</v>
      </c>
      <c r="F87" s="75">
        <v>5.648247664043927E-3</v>
      </c>
      <c r="G87" s="76">
        <v>5.3579863649703225E-3</v>
      </c>
      <c r="H87" s="72" t="s">
        <v>146</v>
      </c>
      <c r="I87" s="72" t="s">
        <v>147</v>
      </c>
    </row>
    <row r="88" spans="1:9" ht="12.75" customHeight="1" x14ac:dyDescent="0.2">
      <c r="A88" s="71">
        <v>18</v>
      </c>
      <c r="B88" s="72" t="s">
        <v>151</v>
      </c>
      <c r="C88" s="73">
        <v>9.5984666666666669</v>
      </c>
      <c r="D88" s="74">
        <v>5.5328999999998771</v>
      </c>
      <c r="E88" s="73">
        <v>325.88639200998847</v>
      </c>
      <c r="F88" s="75">
        <v>2.380993122078449E-3</v>
      </c>
      <c r="G88" s="76">
        <v>5.8709644516935309E-3</v>
      </c>
      <c r="H88" s="72" t="s">
        <v>23</v>
      </c>
      <c r="I88" s="72" t="s">
        <v>152</v>
      </c>
    </row>
    <row r="89" spans="1:9" ht="12.75" customHeight="1" x14ac:dyDescent="0.2">
      <c r="A89" s="71">
        <v>11</v>
      </c>
      <c r="B89" s="72" t="s">
        <v>153</v>
      </c>
      <c r="C89" s="73">
        <v>9.7300666666666675</v>
      </c>
      <c r="D89" s="74">
        <v>1256.9901083333643</v>
      </c>
      <c r="E89" s="73">
        <v>47433.953592233011</v>
      </c>
      <c r="F89" s="75">
        <v>0.54092515723444334</v>
      </c>
      <c r="G89" s="76">
        <v>0.85454030045766705</v>
      </c>
      <c r="H89" s="72" t="s">
        <v>154</v>
      </c>
      <c r="I89" s="72" t="s">
        <v>155</v>
      </c>
    </row>
    <row r="90" spans="1:9" ht="12.75" customHeight="1" x14ac:dyDescent="0.2">
      <c r="A90" s="71">
        <v>7</v>
      </c>
      <c r="B90" s="72" t="s">
        <v>156</v>
      </c>
      <c r="C90" s="73">
        <v>9.8788333333333327</v>
      </c>
      <c r="D90" s="74">
        <v>127.47655000000216</v>
      </c>
      <c r="E90" s="73">
        <v>4843.7430818526236</v>
      </c>
      <c r="F90" s="75">
        <v>5.4857450663540176E-2</v>
      </c>
      <c r="G90" s="76">
        <v>8.726183155822477E-2</v>
      </c>
      <c r="H90" s="72" t="s">
        <v>157</v>
      </c>
      <c r="I90" s="72" t="s">
        <v>158</v>
      </c>
    </row>
    <row r="91" spans="1:9" ht="12.75" customHeight="1" x14ac:dyDescent="0.2">
      <c r="A91" s="71">
        <v>5</v>
      </c>
      <c r="B91" s="72" t="s">
        <v>159</v>
      </c>
      <c r="C91" s="73">
        <v>9.9474999999999998</v>
      </c>
      <c r="D91" s="74">
        <v>10.310658333333095</v>
      </c>
      <c r="E91" s="73">
        <v>361.71599184386378</v>
      </c>
      <c r="F91" s="75">
        <v>4.4370233649202928E-3</v>
      </c>
      <c r="G91" s="76">
        <v>6.5164480070076126E-3</v>
      </c>
      <c r="H91" s="72" t="s">
        <v>23</v>
      </c>
      <c r="I91" s="72" t="s">
        <v>160</v>
      </c>
    </row>
    <row r="92" spans="1:9" ht="12.75" customHeight="1" x14ac:dyDescent="0.2">
      <c r="A92" s="71">
        <v>8</v>
      </c>
      <c r="B92" s="72" t="s">
        <v>161</v>
      </c>
      <c r="C92" s="73">
        <v>9.9474999999999998</v>
      </c>
      <c r="D92" s="74">
        <v>10.310658333333095</v>
      </c>
      <c r="E92" s="73">
        <v>361.71599184386378</v>
      </c>
      <c r="F92" s="75">
        <v>4.4370233649202928E-3</v>
      </c>
      <c r="G92" s="76">
        <v>6.5164480070076126E-3</v>
      </c>
      <c r="H92" s="72" t="s">
        <v>162</v>
      </c>
      <c r="I92" s="72" t="s">
        <v>163</v>
      </c>
    </row>
    <row r="93" spans="1:9" ht="12.75" customHeight="1" x14ac:dyDescent="0.2">
      <c r="A93" s="71">
        <v>4</v>
      </c>
      <c r="B93" s="72" t="s">
        <v>164</v>
      </c>
      <c r="C93" s="73">
        <v>10.021883333333333</v>
      </c>
      <c r="D93" s="74">
        <v>65.382216666665585</v>
      </c>
      <c r="E93" s="73">
        <v>2445</v>
      </c>
      <c r="F93" s="75">
        <v>2.8136168770369452E-2</v>
      </c>
      <c r="G93" s="76">
        <v>4.4047583563878029E-2</v>
      </c>
      <c r="H93" s="72" t="s">
        <v>23</v>
      </c>
      <c r="I93" s="72" t="s">
        <v>165</v>
      </c>
    </row>
    <row r="94" spans="1:9" ht="12.75" customHeight="1" x14ac:dyDescent="0.2">
      <c r="A94" s="71">
        <v>7</v>
      </c>
      <c r="B94" s="72" t="s">
        <v>166</v>
      </c>
      <c r="C94" s="73">
        <v>10.107716666666667</v>
      </c>
      <c r="D94" s="74">
        <v>9.1216666666664992</v>
      </c>
      <c r="E94" s="73">
        <v>346.86724927174396</v>
      </c>
      <c r="F94" s="75">
        <v>3.9253602261428312E-3</v>
      </c>
      <c r="G94" s="76">
        <v>6.2489423917667288E-3</v>
      </c>
      <c r="H94" s="72" t="s">
        <v>23</v>
      </c>
      <c r="I94" s="72" t="s">
        <v>167</v>
      </c>
    </row>
    <row r="95" spans="1:9" ht="12.75" customHeight="1" x14ac:dyDescent="0.2">
      <c r="A95" s="71">
        <v>8</v>
      </c>
      <c r="B95" s="72" t="s">
        <v>168</v>
      </c>
      <c r="C95" s="73">
        <v>10.164933333333334</v>
      </c>
      <c r="D95" s="74">
        <v>9.5557488095235712</v>
      </c>
      <c r="E95" s="73">
        <v>420.46962552011098</v>
      </c>
      <c r="F95" s="75">
        <v>4.1121603845696575E-3</v>
      </c>
      <c r="G95" s="76">
        <v>7.5749165505806107E-3</v>
      </c>
      <c r="H95" s="72" t="s">
        <v>23</v>
      </c>
      <c r="I95" s="72" t="s">
        <v>169</v>
      </c>
    </row>
    <row r="96" spans="1:9" ht="12.75" customHeight="1" x14ac:dyDescent="0.2">
      <c r="A96" s="71">
        <v>7</v>
      </c>
      <c r="B96" s="72" t="s">
        <v>170</v>
      </c>
      <c r="C96" s="73">
        <v>10.245050000000001</v>
      </c>
      <c r="D96" s="74">
        <v>3.5819249999999236</v>
      </c>
      <c r="E96" s="73">
        <v>382.34563106796156</v>
      </c>
      <c r="F96" s="75">
        <v>1.5414229045890683E-3</v>
      </c>
      <c r="G96" s="76">
        <v>6.8880986236195168E-3</v>
      </c>
      <c r="H96" s="72" t="s">
        <v>23</v>
      </c>
      <c r="I96" s="72" t="s">
        <v>171</v>
      </c>
    </row>
    <row r="97" spans="1:9" ht="12.75" customHeight="1" x14ac:dyDescent="0.2">
      <c r="A97" s="71">
        <v>6</v>
      </c>
      <c r="B97" s="72" t="s">
        <v>172</v>
      </c>
      <c r="C97" s="73">
        <v>10.342316666666667</v>
      </c>
      <c r="D97" s="74">
        <v>0.8331833333332419</v>
      </c>
      <c r="E97" s="73">
        <v>233.80011655011651</v>
      </c>
      <c r="F97" s="75">
        <v>3.5854683549257872E-4</v>
      </c>
      <c r="G97" s="76">
        <v>4.2119959799532432E-3</v>
      </c>
      <c r="H97" s="72" t="s">
        <v>23</v>
      </c>
      <c r="I97" s="72" t="s">
        <v>173</v>
      </c>
    </row>
    <row r="98" spans="1:9" ht="12.75" customHeight="1" x14ac:dyDescent="0.2">
      <c r="A98" s="71">
        <v>7</v>
      </c>
      <c r="B98" s="72" t="s">
        <v>170</v>
      </c>
      <c r="C98" s="73">
        <v>10.445316666666667</v>
      </c>
      <c r="D98" s="74">
        <v>3.2908166666666183</v>
      </c>
      <c r="E98" s="73">
        <v>362.21490972626725</v>
      </c>
      <c r="F98" s="75">
        <v>1.4161491892776879E-3</v>
      </c>
      <c r="G98" s="76">
        <v>6.5254361980573794E-3</v>
      </c>
      <c r="H98" s="72" t="s">
        <v>23</v>
      </c>
      <c r="I98" s="72" t="s">
        <v>171</v>
      </c>
    </row>
    <row r="99" spans="1:9" ht="12.75" customHeight="1" x14ac:dyDescent="0.2">
      <c r="A99" s="71">
        <v>4</v>
      </c>
      <c r="B99" s="72" t="s">
        <v>174</v>
      </c>
      <c r="C99" s="73">
        <v>10.531133333333333</v>
      </c>
      <c r="D99" s="74">
        <v>29.404608333333147</v>
      </c>
      <c r="E99" s="73">
        <v>1034</v>
      </c>
      <c r="F99" s="75">
        <v>1.2653792802884279E-2</v>
      </c>
      <c r="G99" s="76">
        <v>1.8627894235194228E-2</v>
      </c>
      <c r="H99" s="72" t="s">
        <v>23</v>
      </c>
      <c r="I99" s="72" t="s">
        <v>175</v>
      </c>
    </row>
    <row r="100" spans="1:9" ht="12.75" customHeight="1" x14ac:dyDescent="0.2">
      <c r="A100" s="71">
        <v>7</v>
      </c>
      <c r="B100" s="72" t="s">
        <v>176</v>
      </c>
      <c r="C100" s="73">
        <v>10.571200000000001</v>
      </c>
      <c r="D100" s="74">
        <v>9.3187249999997945</v>
      </c>
      <c r="E100" s="73">
        <v>447.61034231609165</v>
      </c>
      <c r="F100" s="75">
        <v>4.0101610604819354E-3</v>
      </c>
      <c r="G100" s="76">
        <v>8.0638666491714105E-3</v>
      </c>
      <c r="H100" s="72" t="s">
        <v>23</v>
      </c>
      <c r="I100" s="72" t="s">
        <v>177</v>
      </c>
    </row>
    <row r="101" spans="1:9" ht="12.75" customHeight="1" x14ac:dyDescent="0.2">
      <c r="A101" s="71">
        <v>6</v>
      </c>
      <c r="B101" s="72" t="s">
        <v>178</v>
      </c>
      <c r="C101" s="73">
        <v>10.634133333333333</v>
      </c>
      <c r="D101" s="74">
        <v>2.1801583333334165</v>
      </c>
      <c r="E101" s="73">
        <v>144.21095571095725</v>
      </c>
      <c r="F101" s="75">
        <v>9.3819552074120164E-4</v>
      </c>
      <c r="G101" s="76">
        <v>2.598013956034807E-3</v>
      </c>
      <c r="H101" s="72" t="s">
        <v>179</v>
      </c>
      <c r="I101" s="72" t="s">
        <v>180</v>
      </c>
    </row>
    <row r="102" spans="1:9" ht="12.75" customHeight="1" x14ac:dyDescent="0.2">
      <c r="A102" s="71">
        <v>9</v>
      </c>
      <c r="B102" s="72" t="s">
        <v>181</v>
      </c>
      <c r="C102" s="73">
        <v>10.748583333333334</v>
      </c>
      <c r="D102" s="74">
        <v>995.88656666666623</v>
      </c>
      <c r="E102" s="73">
        <v>39484.178252427191</v>
      </c>
      <c r="F102" s="75">
        <v>0.42856351381801688</v>
      </c>
      <c r="G102" s="76">
        <v>0.7113221435684427</v>
      </c>
      <c r="H102" s="72" t="s">
        <v>182</v>
      </c>
      <c r="I102" s="72" t="s">
        <v>183</v>
      </c>
    </row>
    <row r="103" spans="1:9" ht="12.75" customHeight="1" x14ac:dyDescent="0.2">
      <c r="A103" s="71">
        <v>2</v>
      </c>
      <c r="B103" s="72" t="s">
        <v>184</v>
      </c>
      <c r="C103" s="73">
        <v>10.811516666666668</v>
      </c>
      <c r="D103" s="74">
        <v>47.694158333335622</v>
      </c>
      <c r="E103" s="73">
        <v>1972</v>
      </c>
      <c r="F103" s="75">
        <v>2.0524401842613307E-2</v>
      </c>
      <c r="G103" s="76">
        <v>3.5526312796714712E-2</v>
      </c>
      <c r="H103" s="72" t="s">
        <v>185</v>
      </c>
      <c r="I103" s="72" t="s">
        <v>186</v>
      </c>
    </row>
    <row r="104" spans="1:9" ht="12.75" customHeight="1" x14ac:dyDescent="0.2">
      <c r="A104" s="71">
        <v>9</v>
      </c>
      <c r="B104" s="72" t="s">
        <v>187</v>
      </c>
      <c r="C104" s="73">
        <v>10.914516666666668</v>
      </c>
      <c r="D104" s="74">
        <v>12.216466666666847</v>
      </c>
      <c r="E104" s="73">
        <v>738.63453389830488</v>
      </c>
      <c r="F104" s="75">
        <v>5.257156845313497E-3</v>
      </c>
      <c r="G104" s="76">
        <v>1.3306775605338115E-2</v>
      </c>
      <c r="H104" s="72" t="s">
        <v>23</v>
      </c>
      <c r="I104" s="72" t="s">
        <v>188</v>
      </c>
    </row>
    <row r="105" spans="1:9" ht="12.75" customHeight="1" x14ac:dyDescent="0.2">
      <c r="A105" s="71">
        <v>7</v>
      </c>
      <c r="B105" s="72" t="s">
        <v>189</v>
      </c>
      <c r="C105" s="73">
        <v>10.914516666666668</v>
      </c>
      <c r="D105" s="74">
        <v>12.216466666666847</v>
      </c>
      <c r="E105" s="73">
        <v>738.63453389830488</v>
      </c>
      <c r="F105" s="75">
        <v>5.257156845313497E-3</v>
      </c>
      <c r="G105" s="76">
        <v>1.3306775605338115E-2</v>
      </c>
      <c r="H105" s="72" t="s">
        <v>190</v>
      </c>
      <c r="I105" s="72" t="s">
        <v>191</v>
      </c>
    </row>
    <row r="106" spans="1:9" ht="12.75" customHeight="1" x14ac:dyDescent="0.2">
      <c r="A106" s="71">
        <v>20</v>
      </c>
      <c r="B106" s="72" t="s">
        <v>192</v>
      </c>
      <c r="C106" s="73">
        <v>11.051833333333333</v>
      </c>
      <c r="D106" s="74">
        <v>5344.0505639872017</v>
      </c>
      <c r="E106" s="73">
        <v>200814.19247143174</v>
      </c>
      <c r="F106" s="75">
        <v>2.2997248525896485</v>
      </c>
      <c r="G106" s="76">
        <v>3.6177423000810132</v>
      </c>
      <c r="H106" s="72" t="s">
        <v>193</v>
      </c>
      <c r="I106" s="72" t="s">
        <v>183</v>
      </c>
    </row>
    <row r="107" spans="1:9" ht="12.75" customHeight="1" x14ac:dyDescent="0.2">
      <c r="A107" s="71">
        <v>13</v>
      </c>
      <c r="B107" s="72" t="s">
        <v>194</v>
      </c>
      <c r="C107" s="73">
        <v>11.1205</v>
      </c>
      <c r="D107" s="74">
        <v>80.674186012769212</v>
      </c>
      <c r="E107" s="73">
        <v>2482.3974904772317</v>
      </c>
      <c r="F107" s="75">
        <v>3.4716817948216155E-2</v>
      </c>
      <c r="G107" s="76">
        <v>4.4721313251761548E-2</v>
      </c>
      <c r="H107" s="72" t="s">
        <v>195</v>
      </c>
      <c r="I107" s="72" t="s">
        <v>196</v>
      </c>
    </row>
    <row r="108" spans="1:9" ht="12.75" customHeight="1" x14ac:dyDescent="0.2">
      <c r="A108" s="71">
        <v>3</v>
      </c>
      <c r="B108" s="72" t="s">
        <v>197</v>
      </c>
      <c r="C108" s="73">
        <v>11.172000000000001</v>
      </c>
      <c r="D108" s="74">
        <v>6.2500499999998311</v>
      </c>
      <c r="E108" s="73">
        <v>267.79757281553282</v>
      </c>
      <c r="F108" s="75">
        <v>2.689606908248177E-3</v>
      </c>
      <c r="G108" s="76">
        <v>4.8244727880555798E-3</v>
      </c>
      <c r="H108" s="72" t="s">
        <v>23</v>
      </c>
      <c r="I108" s="72" t="s">
        <v>198</v>
      </c>
    </row>
    <row r="109" spans="1:9" ht="12.75" customHeight="1" x14ac:dyDescent="0.2">
      <c r="A109" s="71">
        <v>4</v>
      </c>
      <c r="B109" s="72" t="s">
        <v>199</v>
      </c>
      <c r="C109" s="73">
        <v>11.206333333333333</v>
      </c>
      <c r="D109" s="74">
        <v>12.542900000000174</v>
      </c>
      <c r="E109" s="73">
        <v>372.6696766676356</v>
      </c>
      <c r="F109" s="75">
        <v>5.3976320972580118E-3</v>
      </c>
      <c r="G109" s="76">
        <v>6.7137827095055565E-3</v>
      </c>
      <c r="H109" s="72" t="s">
        <v>23</v>
      </c>
      <c r="I109" s="72" t="s">
        <v>200</v>
      </c>
    </row>
    <row r="110" spans="1:9" ht="12.75" customHeight="1" x14ac:dyDescent="0.2">
      <c r="A110" s="71">
        <v>4</v>
      </c>
      <c r="B110" s="72" t="s">
        <v>201</v>
      </c>
      <c r="C110" s="73">
        <v>11.297883333333333</v>
      </c>
      <c r="D110" s="74">
        <v>12.417041666666499</v>
      </c>
      <c r="E110" s="73">
        <v>538.00116516166577</v>
      </c>
      <c r="F110" s="75">
        <v>5.3434710196994546E-3</v>
      </c>
      <c r="G110" s="76">
        <v>9.6922909120336284E-3</v>
      </c>
      <c r="H110" s="72" t="s">
        <v>23</v>
      </c>
      <c r="I110" s="72" t="s">
        <v>202</v>
      </c>
    </row>
    <row r="111" spans="1:9" ht="12.75" customHeight="1" x14ac:dyDescent="0.2">
      <c r="A111" s="71">
        <v>6</v>
      </c>
      <c r="B111" s="72" t="s">
        <v>203</v>
      </c>
      <c r="C111" s="73">
        <v>11.337933333333334</v>
      </c>
      <c r="D111" s="74">
        <v>31.248108333333256</v>
      </c>
      <c r="E111" s="73">
        <v>1290</v>
      </c>
      <c r="F111" s="75">
        <v>1.3447112909980373E-2</v>
      </c>
      <c r="G111" s="76">
        <v>2.3239829364990864E-2</v>
      </c>
      <c r="H111" s="72" t="s">
        <v>204</v>
      </c>
      <c r="I111" s="72" t="s">
        <v>205</v>
      </c>
    </row>
    <row r="112" spans="1:9" ht="12.75" customHeight="1" x14ac:dyDescent="0.2">
      <c r="A112" s="71">
        <v>2</v>
      </c>
      <c r="B112" s="72" t="s">
        <v>206</v>
      </c>
      <c r="C112" s="73">
        <v>11.70415</v>
      </c>
      <c r="D112" s="74">
        <v>145.04707499999759</v>
      </c>
      <c r="E112" s="73">
        <v>5117</v>
      </c>
      <c r="F112" s="75">
        <v>6.241863904147895E-2</v>
      </c>
      <c r="G112" s="76">
        <v>9.2184656481130431E-2</v>
      </c>
      <c r="H112" s="72" t="s">
        <v>207</v>
      </c>
      <c r="I112" s="72" t="s">
        <v>208</v>
      </c>
    </row>
    <row r="113" spans="1:9" ht="12.75" customHeight="1" x14ac:dyDescent="0.2">
      <c r="A113" s="71">
        <v>3</v>
      </c>
      <c r="B113" s="72" t="s">
        <v>209</v>
      </c>
      <c r="C113" s="73">
        <v>11.9788</v>
      </c>
      <c r="D113" s="74">
        <v>16209.652768905296</v>
      </c>
      <c r="E113" s="73">
        <v>183384.64265172186</v>
      </c>
      <c r="F113" s="75">
        <v>6.9755592463345177</v>
      </c>
      <c r="G113" s="76">
        <v>3.3037424832448385</v>
      </c>
      <c r="H113" s="72" t="s">
        <v>210</v>
      </c>
      <c r="I113" s="72" t="s">
        <v>211</v>
      </c>
    </row>
    <row r="114" spans="1:9" ht="12.75" customHeight="1" x14ac:dyDescent="0.2">
      <c r="A114" s="71">
        <v>4</v>
      </c>
      <c r="B114" s="72" t="s">
        <v>212</v>
      </c>
      <c r="C114" s="73">
        <v>12.070349999999999</v>
      </c>
      <c r="D114" s="74">
        <v>6.1664083333341111</v>
      </c>
      <c r="E114" s="73">
        <v>695.70485436892204</v>
      </c>
      <c r="F114" s="75">
        <v>2.6536130834817324E-3</v>
      </c>
      <c r="G114" s="76">
        <v>1.2533381475914394E-2</v>
      </c>
      <c r="H114" s="72" t="s">
        <v>213</v>
      </c>
      <c r="I114" s="72" t="s">
        <v>214</v>
      </c>
    </row>
    <row r="115" spans="1:9" ht="12.75" customHeight="1" x14ac:dyDescent="0.2">
      <c r="A115" s="71">
        <v>4</v>
      </c>
      <c r="B115" s="72" t="s">
        <v>215</v>
      </c>
      <c r="C115" s="73">
        <v>12.150466666666667</v>
      </c>
      <c r="D115" s="74">
        <v>56.85670833333397</v>
      </c>
      <c r="E115" s="73">
        <v>2216</v>
      </c>
      <c r="F115" s="75">
        <v>2.4467355543330193E-2</v>
      </c>
      <c r="G115" s="76">
        <v>3.9922063467302135E-2</v>
      </c>
      <c r="H115" s="72" t="s">
        <v>216</v>
      </c>
      <c r="I115" s="72" t="s">
        <v>217</v>
      </c>
    </row>
    <row r="116" spans="1:9" ht="12.75" customHeight="1" x14ac:dyDescent="0.2">
      <c r="A116" s="71">
        <v>4</v>
      </c>
      <c r="B116" s="72" t="s">
        <v>218</v>
      </c>
      <c r="C116" s="73">
        <v>12.179066666666667</v>
      </c>
      <c r="D116" s="74">
        <v>163.49050833333382</v>
      </c>
      <c r="E116" s="73">
        <v>6554.745686757793</v>
      </c>
      <c r="F116" s="75">
        <v>7.0355469259662351E-2</v>
      </c>
      <c r="G116" s="76">
        <v>0.1180861792954736</v>
      </c>
      <c r="H116" s="72" t="s">
        <v>219</v>
      </c>
      <c r="I116" s="72" t="s">
        <v>220</v>
      </c>
    </row>
    <row r="117" spans="1:9" ht="12.75" customHeight="1" x14ac:dyDescent="0.2">
      <c r="A117" s="71">
        <v>5</v>
      </c>
      <c r="B117" s="72" t="s">
        <v>212</v>
      </c>
      <c r="C117" s="73">
        <v>12.270616666666667</v>
      </c>
      <c r="D117" s="74">
        <v>3.2006722222221491</v>
      </c>
      <c r="E117" s="73">
        <v>299.18770226537163</v>
      </c>
      <c r="F117" s="75">
        <v>1.3773570003323126E-3</v>
      </c>
      <c r="G117" s="76">
        <v>5.389977634690641E-3</v>
      </c>
      <c r="H117" s="72" t="s">
        <v>213</v>
      </c>
      <c r="I117" s="72" t="s">
        <v>214</v>
      </c>
    </row>
    <row r="118" spans="1:9" ht="12.75" customHeight="1" x14ac:dyDescent="0.2">
      <c r="A118" s="71">
        <v>5</v>
      </c>
      <c r="B118" s="72" t="s">
        <v>221</v>
      </c>
      <c r="C118" s="73">
        <v>12.379333333333333</v>
      </c>
      <c r="D118" s="74">
        <v>1.9857499999999639</v>
      </c>
      <c r="E118" s="73">
        <v>193.95484340859286</v>
      </c>
      <c r="F118" s="75">
        <v>8.545350706080536E-4</v>
      </c>
      <c r="G118" s="76">
        <v>3.4941685777745901E-3</v>
      </c>
      <c r="H118" s="72" t="s">
        <v>23</v>
      </c>
      <c r="I118" s="72" t="s">
        <v>222</v>
      </c>
    </row>
    <row r="119" spans="1:9" ht="12.75" customHeight="1" x14ac:dyDescent="0.2">
      <c r="A119" s="71">
        <v>5</v>
      </c>
      <c r="B119" s="72" t="s">
        <v>223</v>
      </c>
      <c r="C119" s="73">
        <v>12.379333333333333</v>
      </c>
      <c r="D119" s="74">
        <v>1.9857499999999639</v>
      </c>
      <c r="E119" s="73">
        <v>193.95484340859286</v>
      </c>
      <c r="F119" s="75">
        <v>8.545350706080536E-4</v>
      </c>
      <c r="G119" s="76">
        <v>3.4941685777745901E-3</v>
      </c>
      <c r="H119" s="72" t="s">
        <v>23</v>
      </c>
      <c r="I119" s="72" t="s">
        <v>171</v>
      </c>
    </row>
    <row r="120" spans="1:9" ht="12.75" customHeight="1" x14ac:dyDescent="0.2">
      <c r="A120" s="71">
        <v>9</v>
      </c>
      <c r="B120" s="72" t="s">
        <v>224</v>
      </c>
      <c r="C120" s="73">
        <v>12.470883333333333</v>
      </c>
      <c r="D120" s="74">
        <v>7.248883333333147</v>
      </c>
      <c r="E120" s="73">
        <v>350.58182877111176</v>
      </c>
      <c r="F120" s="75">
        <v>3.1194385149588295E-3</v>
      </c>
      <c r="G120" s="76">
        <v>6.3158619217884354E-3</v>
      </c>
      <c r="H120" s="72" t="s">
        <v>225</v>
      </c>
      <c r="I120" s="72" t="s">
        <v>226</v>
      </c>
    </row>
    <row r="121" spans="1:9" ht="12.75" customHeight="1" x14ac:dyDescent="0.2">
      <c r="A121" s="71">
        <v>7</v>
      </c>
      <c r="B121" s="72" t="s">
        <v>227</v>
      </c>
      <c r="C121" s="73">
        <v>12.533833333333334</v>
      </c>
      <c r="D121" s="74">
        <v>37.044516666665913</v>
      </c>
      <c r="E121" s="73">
        <v>1506</v>
      </c>
      <c r="F121" s="75">
        <v>1.5941502538280822E-2</v>
      </c>
      <c r="G121" s="76">
        <v>2.7131149630756777E-2</v>
      </c>
      <c r="H121" s="72" t="s">
        <v>228</v>
      </c>
      <c r="I121" s="72" t="s">
        <v>196</v>
      </c>
    </row>
    <row r="122" spans="1:9" ht="12.75" customHeight="1" x14ac:dyDescent="0.2">
      <c r="A122" s="71">
        <v>12</v>
      </c>
      <c r="B122" s="72" t="s">
        <v>229</v>
      </c>
      <c r="C122" s="73">
        <v>12.72265</v>
      </c>
      <c r="D122" s="74">
        <v>26.502458333332804</v>
      </c>
      <c r="E122" s="73">
        <v>790.0004854368932</v>
      </c>
      <c r="F122" s="75">
        <v>1.1404899963823217E-2</v>
      </c>
      <c r="G122" s="76">
        <v>1.4232152309932827E-2</v>
      </c>
      <c r="H122" s="72" t="s">
        <v>230</v>
      </c>
      <c r="I122" s="72" t="s">
        <v>231</v>
      </c>
    </row>
    <row r="123" spans="1:9" ht="12.75" customHeight="1" x14ac:dyDescent="0.2">
      <c r="A123" s="71">
        <v>17</v>
      </c>
      <c r="B123" s="72" t="s">
        <v>232</v>
      </c>
      <c r="C123" s="73">
        <v>12.779883333333334</v>
      </c>
      <c r="D123" s="74">
        <v>105.7368999999982</v>
      </c>
      <c r="E123" s="73">
        <v>3667.6642718446597</v>
      </c>
      <c r="F123" s="75">
        <v>4.5502147454300292E-2</v>
      </c>
      <c r="G123" s="76">
        <v>6.6074334764142137E-2</v>
      </c>
      <c r="H123" s="72" t="s">
        <v>233</v>
      </c>
      <c r="I123" s="72" t="s">
        <v>234</v>
      </c>
    </row>
    <row r="124" spans="1:9" ht="12.75" customHeight="1" x14ac:dyDescent="0.2">
      <c r="A124" s="71">
        <v>4</v>
      </c>
      <c r="B124" s="72" t="s">
        <v>235</v>
      </c>
      <c r="C124" s="73">
        <v>12.854266666666668</v>
      </c>
      <c r="D124" s="74">
        <v>3.4479666666666109</v>
      </c>
      <c r="E124" s="73">
        <v>276.2663755458521</v>
      </c>
      <c r="F124" s="75">
        <v>1.4837761243631984E-3</v>
      </c>
      <c r="G124" s="76">
        <v>4.977041416255882E-3</v>
      </c>
      <c r="H124" s="72" t="s">
        <v>236</v>
      </c>
      <c r="I124" s="72" t="s">
        <v>237</v>
      </c>
    </row>
    <row r="125" spans="1:9" ht="12.75" customHeight="1" x14ac:dyDescent="0.2">
      <c r="A125" s="71">
        <v>5</v>
      </c>
      <c r="B125" s="72" t="s">
        <v>238</v>
      </c>
      <c r="C125" s="73">
        <v>12.900033333333333</v>
      </c>
      <c r="D125" s="74">
        <v>5.7397999999998994</v>
      </c>
      <c r="E125" s="73">
        <v>192.03620474407114</v>
      </c>
      <c r="F125" s="75">
        <v>2.4700291568808303E-3</v>
      </c>
      <c r="G125" s="76">
        <v>3.4596035892656297E-3</v>
      </c>
      <c r="H125" s="72" t="s">
        <v>23</v>
      </c>
      <c r="I125" s="72" t="s">
        <v>239</v>
      </c>
    </row>
    <row r="126" spans="1:9" ht="12.75" customHeight="1" x14ac:dyDescent="0.2">
      <c r="A126" s="71">
        <v>9</v>
      </c>
      <c r="B126" s="72" t="s">
        <v>240</v>
      </c>
      <c r="C126" s="73">
        <v>12.945816666666667</v>
      </c>
      <c r="D126" s="74">
        <v>116.15959999999917</v>
      </c>
      <c r="E126" s="73">
        <v>3362</v>
      </c>
      <c r="F126" s="75">
        <v>4.9987386120007228E-2</v>
      </c>
      <c r="G126" s="76">
        <v>6.0567679321782392E-2</v>
      </c>
      <c r="H126" s="72" t="s">
        <v>241</v>
      </c>
      <c r="I126" s="72" t="s">
        <v>242</v>
      </c>
    </row>
    <row r="127" spans="1:9" ht="12.75" customHeight="1" x14ac:dyDescent="0.2">
      <c r="A127" s="71">
        <v>10</v>
      </c>
      <c r="B127" s="72" t="s">
        <v>243</v>
      </c>
      <c r="C127" s="73">
        <v>13.025916666666667</v>
      </c>
      <c r="D127" s="74">
        <v>199.29859873070041</v>
      </c>
      <c r="E127" s="73">
        <v>3195.9771241830067</v>
      </c>
      <c r="F127" s="75">
        <v>8.5764895952878395E-2</v>
      </c>
      <c r="G127" s="76">
        <v>5.757671551971108E-2</v>
      </c>
      <c r="H127" s="72" t="s">
        <v>244</v>
      </c>
      <c r="I127" s="72" t="s">
        <v>245</v>
      </c>
    </row>
    <row r="128" spans="1:9" ht="12.75" customHeight="1" x14ac:dyDescent="0.2">
      <c r="A128" s="71">
        <v>9</v>
      </c>
      <c r="B128" s="72" t="s">
        <v>246</v>
      </c>
      <c r="C128" s="73">
        <v>13.117466666666667</v>
      </c>
      <c r="D128" s="74">
        <v>38.314962568635416</v>
      </c>
      <c r="E128" s="73">
        <v>671.27320208919321</v>
      </c>
      <c r="F128" s="75">
        <v>1.6488218176474573E-2</v>
      </c>
      <c r="G128" s="76">
        <v>1.2093236181274324E-2</v>
      </c>
      <c r="H128" s="72" t="s">
        <v>247</v>
      </c>
      <c r="I128" s="72" t="s">
        <v>248</v>
      </c>
    </row>
    <row r="129" spans="1:9" ht="12.75" customHeight="1" x14ac:dyDescent="0.2">
      <c r="A129" s="71">
        <v>2</v>
      </c>
      <c r="B129" s="72" t="s">
        <v>249</v>
      </c>
      <c r="C129" s="73">
        <v>13.134633333333333</v>
      </c>
      <c r="D129" s="74">
        <v>2.9469583333332743</v>
      </c>
      <c r="E129" s="73">
        <v>112.97503121098543</v>
      </c>
      <c r="F129" s="75">
        <v>1.2681753732614815E-3</v>
      </c>
      <c r="G129" s="76">
        <v>2.035287168874278E-3</v>
      </c>
      <c r="H129" s="72" t="s">
        <v>23</v>
      </c>
      <c r="I129" s="72" t="s">
        <v>250</v>
      </c>
    </row>
    <row r="130" spans="1:9" ht="12.75" customHeight="1" x14ac:dyDescent="0.2">
      <c r="A130" s="71">
        <v>6</v>
      </c>
      <c r="B130" s="72" t="s">
        <v>251</v>
      </c>
      <c r="C130" s="73">
        <v>13.191850000000001</v>
      </c>
      <c r="D130" s="74">
        <v>2.6893166666666115</v>
      </c>
      <c r="E130" s="73">
        <v>191.01019912578846</v>
      </c>
      <c r="F130" s="75">
        <v>1.1573034911934582E-3</v>
      </c>
      <c r="G130" s="76">
        <v>3.4411197167877913E-3</v>
      </c>
      <c r="H130" s="72" t="s">
        <v>23</v>
      </c>
      <c r="I130" s="72" t="s">
        <v>252</v>
      </c>
    </row>
    <row r="131" spans="1:9" ht="12.75" customHeight="1" x14ac:dyDescent="0.2">
      <c r="A131" s="71">
        <v>7</v>
      </c>
      <c r="B131" s="72" t="s">
        <v>253</v>
      </c>
      <c r="C131" s="73">
        <v>13.312016666666667</v>
      </c>
      <c r="D131" s="74">
        <v>56.966249999999398</v>
      </c>
      <c r="E131" s="73">
        <v>1262</v>
      </c>
      <c r="F131" s="75">
        <v>2.4514495009959159E-2</v>
      </c>
      <c r="G131" s="76">
        <v>2.2735398960169358E-2</v>
      </c>
      <c r="H131" s="72" t="s">
        <v>254</v>
      </c>
      <c r="I131" s="72" t="s">
        <v>255</v>
      </c>
    </row>
    <row r="132" spans="1:9" ht="12.75" customHeight="1" x14ac:dyDescent="0.2">
      <c r="A132" s="71">
        <v>6</v>
      </c>
      <c r="B132" s="72" t="s">
        <v>256</v>
      </c>
      <c r="C132" s="73">
        <v>13.483683333333333</v>
      </c>
      <c r="D132" s="74">
        <v>10.306608333333159</v>
      </c>
      <c r="E132" s="73">
        <v>385</v>
      </c>
      <c r="F132" s="75">
        <v>4.4352805135865862E-3</v>
      </c>
      <c r="G132" s="76">
        <v>6.9359180662957225E-3</v>
      </c>
      <c r="H132" s="72" t="s">
        <v>257</v>
      </c>
      <c r="I132" s="72" t="s">
        <v>258</v>
      </c>
    </row>
    <row r="133" spans="1:9" ht="12.75" customHeight="1" x14ac:dyDescent="0.2">
      <c r="A133" s="71">
        <v>5</v>
      </c>
      <c r="B133" s="72" t="s">
        <v>259</v>
      </c>
      <c r="C133" s="73">
        <v>13.5924</v>
      </c>
      <c r="D133" s="74">
        <v>155.7315166666705</v>
      </c>
      <c r="E133" s="73">
        <v>5349.1159842384786</v>
      </c>
      <c r="F133" s="75">
        <v>6.7016513957273052E-2</v>
      </c>
      <c r="G133" s="76">
        <v>9.6366312191664638E-2</v>
      </c>
      <c r="H133" s="72" t="s">
        <v>260</v>
      </c>
      <c r="I133" s="72" t="s">
        <v>261</v>
      </c>
    </row>
    <row r="134" spans="1:9" ht="12.75" customHeight="1" x14ac:dyDescent="0.2">
      <c r="A134" s="71">
        <v>6</v>
      </c>
      <c r="B134" s="72" t="s">
        <v>262</v>
      </c>
      <c r="C134" s="73">
        <v>13.638166666666667</v>
      </c>
      <c r="D134" s="74">
        <v>48.865291666665733</v>
      </c>
      <c r="E134" s="73">
        <v>1876</v>
      </c>
      <c r="F134" s="75">
        <v>2.1028379939397251E-2</v>
      </c>
      <c r="G134" s="76">
        <v>3.3796837123040976E-2</v>
      </c>
      <c r="H134" s="72" t="s">
        <v>263</v>
      </c>
      <c r="I134" s="72" t="s">
        <v>264</v>
      </c>
    </row>
    <row r="135" spans="1:9" ht="12.75" customHeight="1" x14ac:dyDescent="0.2">
      <c r="A135" s="71">
        <v>19</v>
      </c>
      <c r="B135" s="72" t="s">
        <v>265</v>
      </c>
      <c r="C135" s="73">
        <v>13.798383333333334</v>
      </c>
      <c r="D135" s="74">
        <v>261.40735833333133</v>
      </c>
      <c r="E135" s="73">
        <v>7035</v>
      </c>
      <c r="F135" s="75">
        <v>0.11249238595535294</v>
      </c>
      <c r="G135" s="76">
        <v>0.12673813921140367</v>
      </c>
      <c r="H135" s="72" t="s">
        <v>266</v>
      </c>
      <c r="I135" s="72" t="s">
        <v>267</v>
      </c>
    </row>
    <row r="136" spans="1:9" ht="12.75" customHeight="1" x14ac:dyDescent="0.2">
      <c r="A136" s="71">
        <v>6</v>
      </c>
      <c r="B136" s="72" t="s">
        <v>268</v>
      </c>
      <c r="C136" s="73">
        <v>13.844166666666666</v>
      </c>
      <c r="D136" s="74">
        <v>50.681122915718831</v>
      </c>
      <c r="E136" s="73">
        <v>1355.12505688541</v>
      </c>
      <c r="F136" s="75">
        <v>2.1809793251557356E-2</v>
      </c>
      <c r="G136" s="76">
        <v>2.4413081465302685E-2</v>
      </c>
      <c r="H136" s="72" t="s">
        <v>23</v>
      </c>
      <c r="I136" s="72" t="s">
        <v>269</v>
      </c>
    </row>
    <row r="137" spans="1:9" ht="12.75" customHeight="1" x14ac:dyDescent="0.2">
      <c r="A137" s="71">
        <v>11</v>
      </c>
      <c r="B137" s="72" t="s">
        <v>270</v>
      </c>
      <c r="C137" s="73">
        <v>14.1646</v>
      </c>
      <c r="D137" s="74">
        <v>115.79590081990148</v>
      </c>
      <c r="E137" s="73">
        <v>2789.6641206550585</v>
      </c>
      <c r="F137" s="75">
        <v>4.9830874119732825E-2</v>
      </c>
      <c r="G137" s="76">
        <v>5.025683577493089E-2</v>
      </c>
      <c r="H137" s="72" t="s">
        <v>271</v>
      </c>
      <c r="I137" s="72" t="s">
        <v>242</v>
      </c>
    </row>
    <row r="138" spans="1:9" ht="12.75" customHeight="1" x14ac:dyDescent="0.2">
      <c r="A138" s="71">
        <v>8</v>
      </c>
      <c r="B138" s="72" t="s">
        <v>272</v>
      </c>
      <c r="C138" s="73">
        <v>14.250416666666666</v>
      </c>
      <c r="D138" s="74">
        <v>3.7142416666666112</v>
      </c>
      <c r="E138" s="73">
        <v>306</v>
      </c>
      <c r="F138" s="75">
        <v>1.5983632203854384E-3</v>
      </c>
      <c r="G138" s="76">
        <v>5.5127037098350422E-3</v>
      </c>
      <c r="H138" s="72" t="s">
        <v>23</v>
      </c>
      <c r="I138" s="72" t="s">
        <v>273</v>
      </c>
    </row>
    <row r="139" spans="1:9" ht="12.75" customHeight="1" x14ac:dyDescent="0.2">
      <c r="A139" s="71">
        <v>7</v>
      </c>
      <c r="B139" s="72" t="s">
        <v>272</v>
      </c>
      <c r="C139" s="73">
        <v>14.382033333333334</v>
      </c>
      <c r="D139" s="74">
        <v>7.4225583333335061</v>
      </c>
      <c r="E139" s="73">
        <v>231</v>
      </c>
      <c r="F139" s="75">
        <v>3.1941767138197958E-3</v>
      </c>
      <c r="G139" s="76">
        <v>4.1615508397774333E-3</v>
      </c>
      <c r="H139" s="72" t="s">
        <v>23</v>
      </c>
      <c r="I139" s="72" t="s">
        <v>273</v>
      </c>
    </row>
    <row r="140" spans="1:9" ht="12.75" customHeight="1" x14ac:dyDescent="0.2">
      <c r="A140" s="71">
        <v>19</v>
      </c>
      <c r="B140" s="72" t="s">
        <v>274</v>
      </c>
      <c r="C140" s="73">
        <v>14.502183333333333</v>
      </c>
      <c r="D140" s="74">
        <v>705.7744416666651</v>
      </c>
      <c r="E140" s="73">
        <v>26754.229514563111</v>
      </c>
      <c r="F140" s="75">
        <v>0.30371850048747029</v>
      </c>
      <c r="G140" s="76">
        <v>0.48198738659709228</v>
      </c>
      <c r="H140" s="72" t="s">
        <v>275</v>
      </c>
      <c r="I140" s="72" t="s">
        <v>231</v>
      </c>
    </row>
    <row r="141" spans="1:9" ht="12.75" customHeight="1" x14ac:dyDescent="0.2">
      <c r="A141" s="71">
        <v>2</v>
      </c>
      <c r="B141" s="72" t="s">
        <v>276</v>
      </c>
      <c r="C141" s="73">
        <v>14.788283333333334</v>
      </c>
      <c r="D141" s="74">
        <v>56.353208333334024</v>
      </c>
      <c r="E141" s="73">
        <v>2766</v>
      </c>
      <c r="F141" s="75">
        <v>2.425068254418573E-2</v>
      </c>
      <c r="G141" s="76">
        <v>4.9830517847724597E-2</v>
      </c>
      <c r="H141" s="72" t="s">
        <v>23</v>
      </c>
      <c r="I141" s="72" t="s">
        <v>277</v>
      </c>
    </row>
    <row r="142" spans="1:9" ht="12.75" customHeight="1" x14ac:dyDescent="0.2">
      <c r="A142" s="71">
        <v>4</v>
      </c>
      <c r="B142" s="72" t="s">
        <v>278</v>
      </c>
      <c r="C142" s="73">
        <v>14.897</v>
      </c>
      <c r="D142" s="74">
        <v>7.1261166666665918</v>
      </c>
      <c r="E142" s="73">
        <v>456</v>
      </c>
      <c r="F142" s="75">
        <v>3.0666078856408279E-3</v>
      </c>
      <c r="G142" s="76">
        <v>8.2150094499502582E-3</v>
      </c>
      <c r="H142" s="72" t="s">
        <v>23</v>
      </c>
      <c r="I142" s="72" t="s">
        <v>279</v>
      </c>
    </row>
    <row r="143" spans="1:9" ht="12.75" customHeight="1" x14ac:dyDescent="0.2">
      <c r="A143" s="71">
        <v>2</v>
      </c>
      <c r="B143" s="72" t="s">
        <v>280</v>
      </c>
      <c r="C143" s="73">
        <v>14.931333333333333</v>
      </c>
      <c r="D143" s="74">
        <v>16.038091666666787</v>
      </c>
      <c r="E143" s="73">
        <v>730</v>
      </c>
      <c r="F143" s="75">
        <v>6.9017307288398774E-3</v>
      </c>
      <c r="G143" s="76">
        <v>1.3151221268560722E-2</v>
      </c>
      <c r="H143" s="72" t="s">
        <v>281</v>
      </c>
      <c r="I143" s="72" t="s">
        <v>282</v>
      </c>
    </row>
    <row r="144" spans="1:9" ht="12.75" customHeight="1" x14ac:dyDescent="0.2">
      <c r="A144" s="71">
        <v>5</v>
      </c>
      <c r="B144" s="72" t="s">
        <v>283</v>
      </c>
      <c r="C144" s="73">
        <v>15.320433333333334</v>
      </c>
      <c r="D144" s="74">
        <v>1.0408999999999615</v>
      </c>
      <c r="E144" s="73">
        <v>186.69611650485535</v>
      </c>
      <c r="F144" s="75">
        <v>4.4793430945280429E-4</v>
      </c>
      <c r="G144" s="76">
        <v>3.3633999152552657E-3</v>
      </c>
      <c r="H144" s="72" t="s">
        <v>23</v>
      </c>
      <c r="I144" s="72" t="s">
        <v>284</v>
      </c>
    </row>
    <row r="145" spans="1:9" ht="12.75" customHeight="1" x14ac:dyDescent="0.2">
      <c r="A145" s="71">
        <v>2</v>
      </c>
      <c r="B145" s="72" t="s">
        <v>285</v>
      </c>
      <c r="C145" s="73">
        <v>15.589366666666667</v>
      </c>
      <c r="D145" s="74">
        <v>26.634216666666092</v>
      </c>
      <c r="E145" s="73">
        <v>1240</v>
      </c>
      <c r="F145" s="75">
        <v>1.1461600009991248E-2</v>
      </c>
      <c r="G145" s="76">
        <v>2.2339060784952458E-2</v>
      </c>
      <c r="H145" s="72" t="s">
        <v>286</v>
      </c>
      <c r="I145" s="72" t="s">
        <v>287</v>
      </c>
    </row>
    <row r="146" spans="1:9" ht="12.75" customHeight="1" x14ac:dyDescent="0.2">
      <c r="A146" s="71">
        <v>12</v>
      </c>
      <c r="B146" s="72" t="s">
        <v>288</v>
      </c>
      <c r="C146" s="73">
        <v>15.772466666666666</v>
      </c>
      <c r="D146" s="74">
        <v>4119.8789166666966</v>
      </c>
      <c r="E146" s="73">
        <v>151764.48621359232</v>
      </c>
      <c r="F146" s="75">
        <v>1.7729225838854188</v>
      </c>
      <c r="G146" s="76">
        <v>2.7340936149375143</v>
      </c>
      <c r="H146" s="72" t="s">
        <v>289</v>
      </c>
      <c r="I146" s="72" t="s">
        <v>290</v>
      </c>
    </row>
    <row r="147" spans="1:9" ht="12.75" customHeight="1" x14ac:dyDescent="0.2">
      <c r="A147" s="71">
        <v>9</v>
      </c>
      <c r="B147" s="72" t="s">
        <v>291</v>
      </c>
      <c r="C147" s="73">
        <v>16.012783333333335</v>
      </c>
      <c r="D147" s="74">
        <v>232.47414166667284</v>
      </c>
      <c r="E147" s="73">
        <v>8113.4731476424558</v>
      </c>
      <c r="F147" s="75">
        <v>0.10004144885493164</v>
      </c>
      <c r="G147" s="76">
        <v>0.14616723372763255</v>
      </c>
      <c r="H147" s="72" t="s">
        <v>292</v>
      </c>
      <c r="I147" s="72" t="s">
        <v>293</v>
      </c>
    </row>
    <row r="148" spans="1:9" ht="12.75" customHeight="1" x14ac:dyDescent="0.2">
      <c r="A148" s="71">
        <v>6</v>
      </c>
      <c r="B148" s="72" t="s">
        <v>283</v>
      </c>
      <c r="C148" s="73">
        <v>16.070016666666668</v>
      </c>
      <c r="D148" s="74">
        <v>5.5108750000001336</v>
      </c>
      <c r="E148" s="73">
        <v>233.95338674435391</v>
      </c>
      <c r="F148" s="75">
        <v>2.371515023158684E-3</v>
      </c>
      <c r="G148" s="76">
        <v>4.2147571994577519E-3</v>
      </c>
      <c r="H148" s="72" t="s">
        <v>23</v>
      </c>
      <c r="I148" s="72" t="s">
        <v>284</v>
      </c>
    </row>
    <row r="149" spans="1:9" ht="12.75" customHeight="1" x14ac:dyDescent="0.2">
      <c r="A149" s="71">
        <v>5</v>
      </c>
      <c r="B149" s="72" t="s">
        <v>294</v>
      </c>
      <c r="C149" s="73">
        <v>16.201616666666666</v>
      </c>
      <c r="D149" s="74">
        <v>9.6873166666664634</v>
      </c>
      <c r="E149" s="73">
        <v>358</v>
      </c>
      <c r="F149" s="75">
        <v>4.1687784624210248E-3</v>
      </c>
      <c r="G149" s="76">
        <v>6.4495030330749843E-3</v>
      </c>
      <c r="H149" s="72" t="s">
        <v>295</v>
      </c>
      <c r="I149" s="72" t="s">
        <v>296</v>
      </c>
    </row>
    <row r="150" spans="1:9" ht="12.75" customHeight="1" x14ac:dyDescent="0.2">
      <c r="A150" s="71">
        <v>11</v>
      </c>
      <c r="B150" s="72" t="s">
        <v>297</v>
      </c>
      <c r="C150" s="73">
        <v>16.276</v>
      </c>
      <c r="D150" s="74">
        <v>91.597349999998443</v>
      </c>
      <c r="E150" s="73">
        <v>4124.9766967666756</v>
      </c>
      <c r="F150" s="75">
        <v>3.9417423114571665E-2</v>
      </c>
      <c r="G150" s="76">
        <v>7.4312988036760619E-2</v>
      </c>
      <c r="H150" s="72" t="s">
        <v>298</v>
      </c>
      <c r="I150" s="72" t="s">
        <v>299</v>
      </c>
    </row>
    <row r="151" spans="1:9" ht="12.75" customHeight="1" x14ac:dyDescent="0.2">
      <c r="A151" s="71">
        <v>8</v>
      </c>
      <c r="B151" s="72" t="s">
        <v>283</v>
      </c>
      <c r="C151" s="73">
        <v>16.333216666666669</v>
      </c>
      <c r="D151" s="74">
        <v>0.61884999999989887</v>
      </c>
      <c r="E151" s="73">
        <v>363.88638018938673</v>
      </c>
      <c r="F151" s="75">
        <v>2.6631198713116813E-4</v>
      </c>
      <c r="G151" s="76">
        <v>6.5555483595701848E-3</v>
      </c>
      <c r="H151" s="72" t="s">
        <v>23</v>
      </c>
      <c r="I151" s="72" t="s">
        <v>284</v>
      </c>
    </row>
    <row r="152" spans="1:9" ht="12.75" customHeight="1" x14ac:dyDescent="0.2">
      <c r="A152" s="71">
        <v>7</v>
      </c>
      <c r="B152" s="72" t="s">
        <v>283</v>
      </c>
      <c r="C152" s="73">
        <v>16.390433333333334</v>
      </c>
      <c r="D152" s="74">
        <v>1.2204083333332889</v>
      </c>
      <c r="E152" s="73">
        <v>195.97013838310181</v>
      </c>
      <c r="F152" s="75">
        <v>5.2518278801240729E-4</v>
      </c>
      <c r="G152" s="76">
        <v>3.5304748656255292E-3</v>
      </c>
      <c r="H152" s="72" t="s">
        <v>23</v>
      </c>
      <c r="I152" s="72" t="s">
        <v>284</v>
      </c>
    </row>
    <row r="153" spans="1:9" ht="12.75" customHeight="1" x14ac:dyDescent="0.2">
      <c r="A153" s="71">
        <v>10</v>
      </c>
      <c r="B153" s="72" t="s">
        <v>300</v>
      </c>
      <c r="C153" s="73">
        <v>16.659366666666667</v>
      </c>
      <c r="D153" s="74">
        <v>229.7900653013516</v>
      </c>
      <c r="E153" s="73">
        <v>7836.1260852517817</v>
      </c>
      <c r="F153" s="75">
        <v>9.8886400441809533E-2</v>
      </c>
      <c r="G153" s="76">
        <v>0.14117072333628314</v>
      </c>
      <c r="H153" s="72" t="s">
        <v>301</v>
      </c>
      <c r="I153" s="72" t="s">
        <v>302</v>
      </c>
    </row>
    <row r="154" spans="1:9" ht="12.75" customHeight="1" x14ac:dyDescent="0.2">
      <c r="A154" s="71">
        <v>7</v>
      </c>
      <c r="B154" s="72" t="s">
        <v>283</v>
      </c>
      <c r="C154" s="73">
        <v>16.710866666666668</v>
      </c>
      <c r="D154" s="74">
        <v>20.991241666666923</v>
      </c>
      <c r="E154" s="73">
        <v>731.35424940428948</v>
      </c>
      <c r="F154" s="75">
        <v>9.0332379099968586E-3</v>
      </c>
      <c r="G154" s="76">
        <v>1.3175618574819114E-2</v>
      </c>
      <c r="H154" s="72" t="s">
        <v>23</v>
      </c>
      <c r="I154" s="72" t="s">
        <v>284</v>
      </c>
    </row>
    <row r="155" spans="1:9" ht="12.75" customHeight="1" x14ac:dyDescent="0.2">
      <c r="A155" s="71">
        <v>11</v>
      </c>
      <c r="B155" s="72" t="s">
        <v>303</v>
      </c>
      <c r="C155" s="73">
        <v>16.710866666666668</v>
      </c>
      <c r="D155" s="74">
        <v>20.991241666666923</v>
      </c>
      <c r="E155" s="73">
        <v>731.35424940428948</v>
      </c>
      <c r="F155" s="75">
        <v>9.0332379099968586E-3</v>
      </c>
      <c r="G155" s="76">
        <v>1.3175618574819114E-2</v>
      </c>
      <c r="H155" s="72" t="s">
        <v>23</v>
      </c>
      <c r="I155" s="72" t="s">
        <v>304</v>
      </c>
    </row>
    <row r="156" spans="1:9" ht="12.75" customHeight="1" x14ac:dyDescent="0.2">
      <c r="A156" s="71">
        <v>4</v>
      </c>
      <c r="B156" s="72" t="s">
        <v>305</v>
      </c>
      <c r="C156" s="73">
        <v>16.796700000000001</v>
      </c>
      <c r="D156" s="74">
        <v>10.985066666666349</v>
      </c>
      <c r="E156" s="73">
        <v>653.67330097087392</v>
      </c>
      <c r="F156" s="75">
        <v>4.7272439731255566E-3</v>
      </c>
      <c r="G156" s="76">
        <v>1.1776167422491027E-2</v>
      </c>
      <c r="H156" s="72" t="s">
        <v>23</v>
      </c>
      <c r="I156" s="72" t="s">
        <v>306</v>
      </c>
    </row>
    <row r="157" spans="1:9" ht="12.75" customHeight="1" x14ac:dyDescent="0.2">
      <c r="A157" s="71">
        <v>10</v>
      </c>
      <c r="B157" s="72" t="s">
        <v>307</v>
      </c>
      <c r="C157" s="73">
        <v>16.842483333333334</v>
      </c>
      <c r="D157" s="74">
        <v>37.423341666666957</v>
      </c>
      <c r="E157" s="73">
        <v>1882</v>
      </c>
      <c r="F157" s="75">
        <v>1.6104523688034819E-2</v>
      </c>
      <c r="G157" s="76">
        <v>3.3904929352645587E-2</v>
      </c>
      <c r="H157" s="72" t="s">
        <v>308</v>
      </c>
      <c r="I157" s="72" t="s">
        <v>309</v>
      </c>
    </row>
    <row r="158" spans="1:9" ht="12.75" customHeight="1" x14ac:dyDescent="0.2">
      <c r="A158" s="71">
        <v>8</v>
      </c>
      <c r="B158" s="72" t="s">
        <v>303</v>
      </c>
      <c r="C158" s="73">
        <v>16.911133333333332</v>
      </c>
      <c r="D158" s="74">
        <v>13.34895833333303</v>
      </c>
      <c r="E158" s="73">
        <v>693.86724927174828</v>
      </c>
      <c r="F158" s="75">
        <v>5.7445061321510322E-3</v>
      </c>
      <c r="G158" s="76">
        <v>1.2500276337233341E-2</v>
      </c>
      <c r="H158" s="72" t="s">
        <v>23</v>
      </c>
      <c r="I158" s="72" t="s">
        <v>304</v>
      </c>
    </row>
    <row r="159" spans="1:9" ht="12.75" customHeight="1" x14ac:dyDescent="0.2">
      <c r="A159" s="71">
        <v>5</v>
      </c>
      <c r="B159" s="72" t="s">
        <v>305</v>
      </c>
      <c r="C159" s="73">
        <v>16.911133333333332</v>
      </c>
      <c r="D159" s="74">
        <v>13.34895833333303</v>
      </c>
      <c r="E159" s="73">
        <v>693.86724927174828</v>
      </c>
      <c r="F159" s="75">
        <v>5.7445061321510322E-3</v>
      </c>
      <c r="G159" s="76">
        <v>1.2500276337233341E-2</v>
      </c>
      <c r="H159" s="72" t="s">
        <v>23</v>
      </c>
      <c r="I159" s="72" t="s">
        <v>306</v>
      </c>
    </row>
    <row r="160" spans="1:9" ht="12.75" customHeight="1" x14ac:dyDescent="0.2">
      <c r="A160" s="71">
        <v>13</v>
      </c>
      <c r="B160" s="72" t="s">
        <v>303</v>
      </c>
      <c r="C160" s="73">
        <v>17.019850000000002</v>
      </c>
      <c r="D160" s="74">
        <v>20.179475000000238</v>
      </c>
      <c r="E160" s="73">
        <v>920.41198501872714</v>
      </c>
      <c r="F160" s="75">
        <v>8.6839073871126625E-3</v>
      </c>
      <c r="G160" s="76">
        <v>1.658156393591298E-2</v>
      </c>
      <c r="H160" s="72" t="s">
        <v>23</v>
      </c>
      <c r="I160" s="72" t="s">
        <v>304</v>
      </c>
    </row>
    <row r="161" spans="1:9" ht="12.75" customHeight="1" x14ac:dyDescent="0.2">
      <c r="A161" s="71">
        <v>8</v>
      </c>
      <c r="B161" s="72" t="s">
        <v>305</v>
      </c>
      <c r="C161" s="73">
        <v>17.214400000000001</v>
      </c>
      <c r="D161" s="74">
        <v>16.129510868358537</v>
      </c>
      <c r="E161" s="73">
        <v>667.56471077819606</v>
      </c>
      <c r="F161" s="75">
        <v>6.9410714887404648E-3</v>
      </c>
      <c r="G161" s="76">
        <v>1.2026426332228491E-2</v>
      </c>
      <c r="H161" s="72" t="s">
        <v>23</v>
      </c>
      <c r="I161" s="72" t="s">
        <v>306</v>
      </c>
    </row>
    <row r="162" spans="1:9" ht="12.75" customHeight="1" x14ac:dyDescent="0.2">
      <c r="A162" s="71">
        <v>8</v>
      </c>
      <c r="B162" s="72" t="s">
        <v>305</v>
      </c>
      <c r="C162" s="73">
        <v>17.283066666666667</v>
      </c>
      <c r="D162" s="74">
        <v>21.530999999999182</v>
      </c>
      <c r="E162" s="73">
        <v>693.77891057384159</v>
      </c>
      <c r="F162" s="75">
        <v>9.2655140905258133E-3</v>
      </c>
      <c r="G162" s="76">
        <v>1.2498684882763825E-2</v>
      </c>
      <c r="H162" s="72" t="s">
        <v>23</v>
      </c>
      <c r="I162" s="72" t="s">
        <v>306</v>
      </c>
    </row>
    <row r="163" spans="1:9" ht="12.75" customHeight="1" x14ac:dyDescent="0.2">
      <c r="A163" s="71">
        <v>8</v>
      </c>
      <c r="B163" s="72" t="s">
        <v>283</v>
      </c>
      <c r="C163" s="73">
        <v>17.283066666666667</v>
      </c>
      <c r="D163" s="74">
        <v>21.530999999999182</v>
      </c>
      <c r="E163" s="73">
        <v>693.77891057384159</v>
      </c>
      <c r="F163" s="75">
        <v>9.2655140905258133E-3</v>
      </c>
      <c r="G163" s="76">
        <v>1.2498684882763825E-2</v>
      </c>
      <c r="H163" s="72" t="s">
        <v>23</v>
      </c>
      <c r="I163" s="72" t="s">
        <v>284</v>
      </c>
    </row>
    <row r="164" spans="1:9" ht="12.75" customHeight="1" x14ac:dyDescent="0.2">
      <c r="A164" s="71">
        <v>8</v>
      </c>
      <c r="B164" s="72" t="s">
        <v>305</v>
      </c>
      <c r="C164" s="73">
        <v>17.391783333333333</v>
      </c>
      <c r="D164" s="74">
        <v>8.9778583333336428</v>
      </c>
      <c r="E164" s="73">
        <v>606.52566436114375</v>
      </c>
      <c r="F164" s="75">
        <v>3.8634746593400504E-3</v>
      </c>
      <c r="G164" s="76">
        <v>1.092678522886876E-2</v>
      </c>
      <c r="H164" s="72" t="s">
        <v>23</v>
      </c>
      <c r="I164" s="72" t="s">
        <v>306</v>
      </c>
    </row>
    <row r="165" spans="1:9" ht="12.75" customHeight="1" x14ac:dyDescent="0.2">
      <c r="A165" s="71">
        <v>23</v>
      </c>
      <c r="B165" s="72" t="s">
        <v>310</v>
      </c>
      <c r="C165" s="73">
        <v>17.443283333333333</v>
      </c>
      <c r="D165" s="74">
        <v>419.91971666668906</v>
      </c>
      <c r="E165" s="73">
        <v>17408.28167256085</v>
      </c>
      <c r="F165" s="75">
        <v>0.18070558969230238</v>
      </c>
      <c r="G165" s="76">
        <v>0.31361666326202475</v>
      </c>
      <c r="H165" s="72" t="s">
        <v>23</v>
      </c>
      <c r="I165" s="72" t="s">
        <v>311</v>
      </c>
    </row>
    <row r="166" spans="1:9" ht="12.75" customHeight="1" x14ac:dyDescent="0.2">
      <c r="A166" s="71">
        <v>15</v>
      </c>
      <c r="B166" s="72" t="s">
        <v>305</v>
      </c>
      <c r="C166" s="73">
        <v>17.517666666666667</v>
      </c>
      <c r="D166" s="74">
        <v>6.2935833333342828</v>
      </c>
      <c r="E166" s="73">
        <v>495.83236272879003</v>
      </c>
      <c r="F166" s="75">
        <v>2.7083407670293732E-3</v>
      </c>
      <c r="G166" s="76">
        <v>8.9326042662459977E-3</v>
      </c>
      <c r="H166" s="72" t="s">
        <v>23</v>
      </c>
      <c r="I166" s="72" t="s">
        <v>306</v>
      </c>
    </row>
    <row r="167" spans="1:9" ht="12.75" customHeight="1" x14ac:dyDescent="0.2">
      <c r="A167" s="71">
        <v>7</v>
      </c>
      <c r="B167" s="72" t="s">
        <v>305</v>
      </c>
      <c r="C167" s="73">
        <v>17.637833333333333</v>
      </c>
      <c r="D167" s="74">
        <v>16.501186111110883</v>
      </c>
      <c r="E167" s="73">
        <v>1012.5320388349523</v>
      </c>
      <c r="F167" s="75">
        <v>7.1010158572705658E-3</v>
      </c>
      <c r="G167" s="76">
        <v>1.8241140937295036E-2</v>
      </c>
      <c r="H167" s="72" t="s">
        <v>23</v>
      </c>
      <c r="I167" s="72" t="s">
        <v>306</v>
      </c>
    </row>
    <row r="168" spans="1:9" ht="12.75" customHeight="1" x14ac:dyDescent="0.2">
      <c r="A168" s="71">
        <v>9</v>
      </c>
      <c r="B168" s="72" t="s">
        <v>305</v>
      </c>
      <c r="C168" s="73">
        <v>17.637833333333333</v>
      </c>
      <c r="D168" s="74">
        <v>16.501186111110883</v>
      </c>
      <c r="E168" s="73">
        <v>1012.5320388349523</v>
      </c>
      <c r="F168" s="75">
        <v>7.1010158572705658E-3</v>
      </c>
      <c r="G168" s="76">
        <v>1.8241140937295036E-2</v>
      </c>
      <c r="H168" s="72" t="s">
        <v>23</v>
      </c>
      <c r="I168" s="72" t="s">
        <v>306</v>
      </c>
    </row>
    <row r="169" spans="1:9" ht="12.75" customHeight="1" x14ac:dyDescent="0.2">
      <c r="A169" s="71">
        <v>6</v>
      </c>
      <c r="B169" s="72" t="s">
        <v>305</v>
      </c>
      <c r="C169" s="73">
        <v>17.683600000000002</v>
      </c>
      <c r="D169" s="74">
        <v>21.21598888888974</v>
      </c>
      <c r="E169" s="73">
        <v>815.80129449837614</v>
      </c>
      <c r="F169" s="75">
        <v>9.1299542053065105E-3</v>
      </c>
      <c r="G169" s="76">
        <v>1.4696963472775907E-2</v>
      </c>
      <c r="H169" s="72" t="s">
        <v>23</v>
      </c>
      <c r="I169" s="72" t="s">
        <v>306</v>
      </c>
    </row>
    <row r="170" spans="1:9" ht="12.75" customHeight="1" x14ac:dyDescent="0.2">
      <c r="A170" s="71" t="s">
        <v>48</v>
      </c>
      <c r="B170" s="72" t="s">
        <v>305</v>
      </c>
      <c r="C170" s="73" t="s">
        <v>48</v>
      </c>
      <c r="D170" s="74" t="s">
        <v>48</v>
      </c>
      <c r="E170" s="73" t="s">
        <v>48</v>
      </c>
      <c r="F170" s="75" t="s">
        <v>48</v>
      </c>
      <c r="G170" s="76" t="s">
        <v>48</v>
      </c>
      <c r="H170" s="72" t="s">
        <v>23</v>
      </c>
      <c r="I170" s="72" t="s">
        <v>306</v>
      </c>
    </row>
    <row r="171" spans="1:9" ht="12.75" customHeight="1" x14ac:dyDescent="0.2">
      <c r="A171" s="71">
        <v>12</v>
      </c>
      <c r="B171" s="72" t="s">
        <v>305</v>
      </c>
      <c r="C171" s="73">
        <v>17.792316666666668</v>
      </c>
      <c r="D171" s="74">
        <v>0.37068333333328951</v>
      </c>
      <c r="E171" s="73">
        <v>104.89743589742829</v>
      </c>
      <c r="F171" s="75">
        <v>1.5951751651678054E-4</v>
      </c>
      <c r="G171" s="76">
        <v>1.8897662876599232E-3</v>
      </c>
      <c r="H171" s="72" t="s">
        <v>23</v>
      </c>
      <c r="I171" s="72" t="s">
        <v>306</v>
      </c>
    </row>
    <row r="172" spans="1:9" ht="12.75" customHeight="1" x14ac:dyDescent="0.2">
      <c r="A172" s="71">
        <v>2</v>
      </c>
      <c r="B172" s="72" t="s">
        <v>305</v>
      </c>
      <c r="C172" s="73">
        <v>17.923933333333334</v>
      </c>
      <c r="D172" s="74">
        <v>11.454158333333382</v>
      </c>
      <c r="E172" s="73">
        <v>1091.9597087378625</v>
      </c>
      <c r="F172" s="75">
        <v>4.9291099081611705E-3</v>
      </c>
      <c r="G172" s="76">
        <v>1.9672059925979108E-2</v>
      </c>
      <c r="H172" s="72" t="s">
        <v>23</v>
      </c>
      <c r="I172" s="72" t="s">
        <v>306</v>
      </c>
    </row>
    <row r="173" spans="1:9" ht="12.75" customHeight="1" x14ac:dyDescent="0.2">
      <c r="A173" s="71">
        <v>14</v>
      </c>
      <c r="B173" s="72" t="s">
        <v>305</v>
      </c>
      <c r="C173" s="73">
        <v>17.923933333333334</v>
      </c>
      <c r="D173" s="74">
        <v>11.454158333333382</v>
      </c>
      <c r="E173" s="73">
        <v>1091.9597087378625</v>
      </c>
      <c r="F173" s="75">
        <v>4.9291099081611705E-3</v>
      </c>
      <c r="G173" s="76">
        <v>1.9672059925979108E-2</v>
      </c>
      <c r="H173" s="72" t="s">
        <v>23</v>
      </c>
      <c r="I173" s="72" t="s">
        <v>306</v>
      </c>
    </row>
    <row r="174" spans="1:9" ht="12.75" customHeight="1" x14ac:dyDescent="0.2">
      <c r="A174" s="71">
        <v>9</v>
      </c>
      <c r="B174" s="72" t="s">
        <v>305</v>
      </c>
      <c r="C174" s="73">
        <v>17.963983333333335</v>
      </c>
      <c r="D174" s="74">
        <v>34.374216666667337</v>
      </c>
      <c r="E174" s="73">
        <v>1212.4999999999873</v>
      </c>
      <c r="F174" s="75">
        <v>1.4792382558906022E-2</v>
      </c>
      <c r="G174" s="76">
        <v>2.1843638065931103E-2</v>
      </c>
      <c r="H174" s="72" t="s">
        <v>23</v>
      </c>
      <c r="I174" s="72" t="s">
        <v>306</v>
      </c>
    </row>
    <row r="175" spans="1:9" ht="12.75" customHeight="1" x14ac:dyDescent="0.2">
      <c r="A175" s="71">
        <v>7</v>
      </c>
      <c r="B175" s="72" t="s">
        <v>305</v>
      </c>
      <c r="C175" s="73">
        <v>18.061250000000001</v>
      </c>
      <c r="D175" s="74">
        <v>4.7689249999999817</v>
      </c>
      <c r="E175" s="73">
        <v>436.67572815533822</v>
      </c>
      <c r="F175" s="75">
        <v>2.0522289621551404E-3</v>
      </c>
      <c r="G175" s="76">
        <v>7.8668755117544155E-3</v>
      </c>
      <c r="H175" s="72" t="s">
        <v>23</v>
      </c>
      <c r="I175" s="72" t="s">
        <v>306</v>
      </c>
    </row>
    <row r="176" spans="1:9" ht="12.75" customHeight="1" x14ac:dyDescent="0.2">
      <c r="A176" s="71">
        <v>14</v>
      </c>
      <c r="B176" s="72" t="s">
        <v>310</v>
      </c>
      <c r="C176" s="73">
        <v>18.066983333333333</v>
      </c>
      <c r="D176" s="74">
        <v>292.40143333332765</v>
      </c>
      <c r="E176" s="73">
        <v>12702.382843526602</v>
      </c>
      <c r="F176" s="75">
        <v>0.12583017977056313</v>
      </c>
      <c r="G176" s="76">
        <v>0.22883814714135323</v>
      </c>
      <c r="H176" s="72" t="s">
        <v>23</v>
      </c>
      <c r="I176" s="72" t="s">
        <v>311</v>
      </c>
    </row>
    <row r="177" spans="1:9" ht="12.75" customHeight="1" x14ac:dyDescent="0.2">
      <c r="A177" s="71">
        <v>6</v>
      </c>
      <c r="B177" s="72" t="s">
        <v>305</v>
      </c>
      <c r="C177" s="73">
        <v>18.101316666666666</v>
      </c>
      <c r="D177" s="74">
        <v>7.4856166666671271</v>
      </c>
      <c r="E177" s="73">
        <v>644.33203883489205</v>
      </c>
      <c r="F177" s="75">
        <v>3.2213128373638831E-3</v>
      </c>
      <c r="G177" s="76">
        <v>1.160788111389113E-2</v>
      </c>
      <c r="H177" s="72" t="s">
        <v>23</v>
      </c>
      <c r="I177" s="72" t="s">
        <v>306</v>
      </c>
    </row>
    <row r="178" spans="1:9" ht="12.75" customHeight="1" x14ac:dyDescent="0.2">
      <c r="A178" s="71">
        <v>9</v>
      </c>
      <c r="B178" s="72" t="s">
        <v>305</v>
      </c>
      <c r="C178" s="73">
        <v>18.181416666666667</v>
      </c>
      <c r="D178" s="74">
        <v>49.197445480113629</v>
      </c>
      <c r="E178" s="73">
        <v>1938.8831860184837</v>
      </c>
      <c r="F178" s="75">
        <v>2.1171316906501588E-2</v>
      </c>
      <c r="G178" s="76">
        <v>3.492970108660419E-2</v>
      </c>
      <c r="H178" s="72" t="s">
        <v>23</v>
      </c>
      <c r="I178" s="72" t="s">
        <v>306</v>
      </c>
    </row>
    <row r="179" spans="1:9" ht="12.75" customHeight="1" x14ac:dyDescent="0.2">
      <c r="A179" s="71">
        <v>5</v>
      </c>
      <c r="B179" s="72" t="s">
        <v>305</v>
      </c>
      <c r="C179" s="73">
        <v>18.2272</v>
      </c>
      <c r="D179" s="74">
        <v>75.079358001873857</v>
      </c>
      <c r="E179" s="73">
        <v>1966.5620731217386</v>
      </c>
      <c r="F179" s="75">
        <v>3.2309175118388406E-2</v>
      </c>
      <c r="G179" s="76">
        <v>3.5428346523265028E-2</v>
      </c>
      <c r="H179" s="72" t="s">
        <v>23</v>
      </c>
      <c r="I179" s="72" t="s">
        <v>306</v>
      </c>
    </row>
    <row r="180" spans="1:9" ht="12.75" customHeight="1" x14ac:dyDescent="0.2">
      <c r="A180" s="71">
        <v>7</v>
      </c>
      <c r="B180" s="72" t="s">
        <v>305</v>
      </c>
      <c r="C180" s="73">
        <v>18.2272</v>
      </c>
      <c r="D180" s="74">
        <v>75.079358001873857</v>
      </c>
      <c r="E180" s="73">
        <v>1966.5620731217386</v>
      </c>
      <c r="F180" s="75">
        <v>3.2309175118388406E-2</v>
      </c>
      <c r="G180" s="76">
        <v>3.5428346523265028E-2</v>
      </c>
      <c r="H180" s="72" t="s">
        <v>23</v>
      </c>
      <c r="I180" s="72" t="s">
        <v>306</v>
      </c>
    </row>
    <row r="181" spans="1:9" ht="12.75" customHeight="1" x14ac:dyDescent="0.2">
      <c r="A181" s="71">
        <v>7</v>
      </c>
      <c r="B181" s="72" t="s">
        <v>312</v>
      </c>
      <c r="C181" s="73">
        <v>18.307300000000001</v>
      </c>
      <c r="D181" s="74">
        <v>6.7692083333331965</v>
      </c>
      <c r="E181" s="73">
        <v>343.86808156470761</v>
      </c>
      <c r="F181" s="75">
        <v>2.9130182153270113E-3</v>
      </c>
      <c r="G181" s="76">
        <v>6.1949112710314455E-3</v>
      </c>
      <c r="H181" s="72" t="s">
        <v>313</v>
      </c>
      <c r="I181" s="72" t="s">
        <v>314</v>
      </c>
    </row>
    <row r="182" spans="1:9" ht="12.75" customHeight="1" x14ac:dyDescent="0.2">
      <c r="A182" s="71">
        <v>5</v>
      </c>
      <c r="B182" s="72" t="s">
        <v>305</v>
      </c>
      <c r="C182" s="73">
        <v>18.347349999999999</v>
      </c>
      <c r="D182" s="74">
        <v>7.5738333333351875</v>
      </c>
      <c r="E182" s="73">
        <v>999.53890969626354</v>
      </c>
      <c r="F182" s="75">
        <v>3.2592754386379613E-3</v>
      </c>
      <c r="G182" s="76">
        <v>1.8007064887604788E-2</v>
      </c>
      <c r="H182" s="72" t="s">
        <v>23</v>
      </c>
      <c r="I182" s="72" t="s">
        <v>306</v>
      </c>
    </row>
    <row r="183" spans="1:9" ht="12.75" customHeight="1" x14ac:dyDescent="0.2">
      <c r="A183" s="71">
        <v>8</v>
      </c>
      <c r="B183" s="72" t="s">
        <v>312</v>
      </c>
      <c r="C183" s="73">
        <v>18.381683333333335</v>
      </c>
      <c r="D183" s="74">
        <v>10.472250000000052</v>
      </c>
      <c r="E183" s="73">
        <v>408.6666666666631</v>
      </c>
      <c r="F183" s="75">
        <v>4.50656169869087E-3</v>
      </c>
      <c r="G183" s="76">
        <v>7.3622818608471705E-3</v>
      </c>
      <c r="H183" s="72" t="s">
        <v>313</v>
      </c>
      <c r="I183" s="72" t="s">
        <v>314</v>
      </c>
    </row>
    <row r="184" spans="1:9" ht="12.75" customHeight="1" x14ac:dyDescent="0.2">
      <c r="A184" s="71">
        <v>6</v>
      </c>
      <c r="B184" s="72" t="s">
        <v>305</v>
      </c>
      <c r="C184" s="73">
        <v>18.45035</v>
      </c>
      <c r="D184" s="74">
        <v>74.920750000001931</v>
      </c>
      <c r="E184" s="73">
        <v>1893.2528696248137</v>
      </c>
      <c r="F184" s="75">
        <v>3.2240920756017193E-2</v>
      </c>
      <c r="G184" s="76">
        <v>3.4107653980511597E-2</v>
      </c>
      <c r="H184" s="72" t="s">
        <v>23</v>
      </c>
      <c r="I184" s="72" t="s">
        <v>306</v>
      </c>
    </row>
    <row r="185" spans="1:9" ht="12.75" customHeight="1" x14ac:dyDescent="0.2">
      <c r="A185" s="71">
        <v>5</v>
      </c>
      <c r="B185" s="72" t="s">
        <v>312</v>
      </c>
      <c r="C185" s="73">
        <v>18.490400000000001</v>
      </c>
      <c r="D185" s="74">
        <v>7.5431666666665613</v>
      </c>
      <c r="E185" s="73">
        <v>519.18462434479022</v>
      </c>
      <c r="F185" s="75">
        <v>3.2460785396491716E-3</v>
      </c>
      <c r="G185" s="76">
        <v>9.3533039369765938E-3</v>
      </c>
      <c r="H185" s="72" t="s">
        <v>313</v>
      </c>
      <c r="I185" s="72" t="s">
        <v>314</v>
      </c>
    </row>
    <row r="186" spans="1:9" ht="12.75" customHeight="1" x14ac:dyDescent="0.2">
      <c r="A186" s="71">
        <v>10</v>
      </c>
      <c r="B186" s="72" t="s">
        <v>305</v>
      </c>
      <c r="C186" s="73">
        <v>18.564783333333335</v>
      </c>
      <c r="D186" s="74">
        <v>23.311900366595182</v>
      </c>
      <c r="E186" s="73">
        <v>1049.6566523605197</v>
      </c>
      <c r="F186" s="75">
        <v>1.0031895468098545E-2</v>
      </c>
      <c r="G186" s="76">
        <v>1.8909954645493034E-2</v>
      </c>
      <c r="H186" s="72" t="s">
        <v>23</v>
      </c>
      <c r="I186" s="72" t="s">
        <v>306</v>
      </c>
    </row>
    <row r="187" spans="1:9" ht="12.75" customHeight="1" x14ac:dyDescent="0.2">
      <c r="A187" s="71" t="s">
        <v>48</v>
      </c>
      <c r="B187" s="72" t="s">
        <v>305</v>
      </c>
      <c r="C187" s="73" t="s">
        <v>48</v>
      </c>
      <c r="D187" s="74" t="s">
        <v>48</v>
      </c>
      <c r="E187" s="73" t="s">
        <v>48</v>
      </c>
      <c r="F187" s="75" t="s">
        <v>48</v>
      </c>
      <c r="G187" s="76" t="s">
        <v>48</v>
      </c>
      <c r="H187" s="72" t="s">
        <v>23</v>
      </c>
      <c r="I187" s="72" t="s">
        <v>306</v>
      </c>
    </row>
    <row r="188" spans="1:9" ht="12.75" customHeight="1" x14ac:dyDescent="0.2">
      <c r="A188" s="71">
        <v>9</v>
      </c>
      <c r="B188" s="72" t="s">
        <v>312</v>
      </c>
      <c r="C188" s="73">
        <v>18.684950000000001</v>
      </c>
      <c r="D188" s="74">
        <v>29.658300000001034</v>
      </c>
      <c r="E188" s="73">
        <v>919.61469534050116</v>
      </c>
      <c r="F188" s="75">
        <v>1.276296486698536E-2</v>
      </c>
      <c r="G188" s="76">
        <v>1.6567200466086285E-2</v>
      </c>
      <c r="H188" s="72" t="s">
        <v>313</v>
      </c>
      <c r="I188" s="72" t="s">
        <v>314</v>
      </c>
    </row>
    <row r="189" spans="1:9" ht="12.75" customHeight="1" x14ac:dyDescent="0.2">
      <c r="A189" s="71" t="s">
        <v>48</v>
      </c>
      <c r="B189" s="72" t="s">
        <v>315</v>
      </c>
      <c r="C189" s="73" t="s">
        <v>48</v>
      </c>
      <c r="D189" s="74" t="s">
        <v>48</v>
      </c>
      <c r="E189" s="73" t="s">
        <v>48</v>
      </c>
      <c r="F189" s="75" t="s">
        <v>48</v>
      </c>
      <c r="G189" s="76" t="s">
        <v>48</v>
      </c>
      <c r="H189" s="72" t="s">
        <v>316</v>
      </c>
      <c r="I189" s="72" t="s">
        <v>317</v>
      </c>
    </row>
    <row r="190" spans="1:9" ht="12.75" customHeight="1" x14ac:dyDescent="0.2">
      <c r="A190" s="71">
        <v>17</v>
      </c>
      <c r="B190" s="72" t="s">
        <v>312</v>
      </c>
      <c r="C190" s="73">
        <v>18.822283333333335</v>
      </c>
      <c r="D190" s="74">
        <v>15.115424999999647</v>
      </c>
      <c r="E190" s="73">
        <v>425.40679611650285</v>
      </c>
      <c r="F190" s="75">
        <v>6.5046762027675536E-3</v>
      </c>
      <c r="G190" s="76">
        <v>7.6638615135309947E-3</v>
      </c>
      <c r="H190" s="72" t="s">
        <v>313</v>
      </c>
      <c r="I190" s="72" t="s">
        <v>314</v>
      </c>
    </row>
    <row r="191" spans="1:9" ht="12.75" customHeight="1" x14ac:dyDescent="0.2">
      <c r="A191" s="71">
        <v>14</v>
      </c>
      <c r="B191" s="72" t="s">
        <v>305</v>
      </c>
      <c r="C191" s="73">
        <v>18.856616666666667</v>
      </c>
      <c r="D191" s="74">
        <v>46.003416666666055</v>
      </c>
      <c r="E191" s="73">
        <v>2006.0812297734574</v>
      </c>
      <c r="F191" s="75">
        <v>1.9796818788599721E-2</v>
      </c>
      <c r="G191" s="76">
        <v>3.6140298815694714E-2</v>
      </c>
      <c r="H191" s="72" t="s">
        <v>23</v>
      </c>
      <c r="I191" s="72" t="s">
        <v>306</v>
      </c>
    </row>
    <row r="192" spans="1:9" ht="12.75" customHeight="1" x14ac:dyDescent="0.2">
      <c r="A192" s="71">
        <v>2</v>
      </c>
      <c r="B192" s="72" t="s">
        <v>315</v>
      </c>
      <c r="C192" s="73">
        <v>18.953883333333334</v>
      </c>
      <c r="D192" s="74">
        <v>1.9223583333336265</v>
      </c>
      <c r="E192" s="73">
        <v>211.00970873786241</v>
      </c>
      <c r="F192" s="75">
        <v>8.2725550251001412E-4</v>
      </c>
      <c r="G192" s="76">
        <v>3.8014183142824373E-3</v>
      </c>
      <c r="H192" s="72" t="s">
        <v>316</v>
      </c>
      <c r="I192" s="72" t="s">
        <v>317</v>
      </c>
    </row>
    <row r="193" spans="1:9" ht="12.75" customHeight="1" x14ac:dyDescent="0.2">
      <c r="A193" s="71" t="s">
        <v>48</v>
      </c>
      <c r="B193" s="72" t="s">
        <v>315</v>
      </c>
      <c r="C193" s="73" t="s">
        <v>48</v>
      </c>
      <c r="D193" s="74" t="s">
        <v>48</v>
      </c>
      <c r="E193" s="73" t="s">
        <v>48</v>
      </c>
      <c r="F193" s="75" t="s">
        <v>48</v>
      </c>
      <c r="G193" s="76" t="s">
        <v>48</v>
      </c>
      <c r="H193" s="72" t="s">
        <v>316</v>
      </c>
      <c r="I193" s="72" t="s">
        <v>317</v>
      </c>
    </row>
    <row r="194" spans="1:9" ht="12.75" customHeight="1" x14ac:dyDescent="0.2">
      <c r="A194" s="71" t="s">
        <v>48</v>
      </c>
      <c r="B194" s="72" t="s">
        <v>305</v>
      </c>
      <c r="C194" s="73" t="s">
        <v>48</v>
      </c>
      <c r="D194" s="74" t="s">
        <v>48</v>
      </c>
      <c r="E194" s="73" t="s">
        <v>48</v>
      </c>
      <c r="F194" s="75" t="s">
        <v>48</v>
      </c>
      <c r="G194" s="76" t="s">
        <v>48</v>
      </c>
      <c r="H194" s="72" t="s">
        <v>23</v>
      </c>
      <c r="I194" s="72" t="s">
        <v>306</v>
      </c>
    </row>
    <row r="195" spans="1:9" ht="12.75" customHeight="1" x14ac:dyDescent="0.2">
      <c r="A195" s="71">
        <v>15</v>
      </c>
      <c r="B195" s="72" t="s">
        <v>312</v>
      </c>
      <c r="C195" s="73">
        <v>19.07405</v>
      </c>
      <c r="D195" s="74">
        <v>3.3498500000002061</v>
      </c>
      <c r="E195" s="73">
        <v>193.6911871813777</v>
      </c>
      <c r="F195" s="75">
        <v>1.4415532198295939E-3</v>
      </c>
      <c r="G195" s="76">
        <v>3.4894187128664518E-3</v>
      </c>
      <c r="H195" s="72" t="s">
        <v>313</v>
      </c>
      <c r="I195" s="72" t="s">
        <v>314</v>
      </c>
    </row>
    <row r="196" spans="1:9" ht="12.75" customHeight="1" x14ac:dyDescent="0.2">
      <c r="A196" s="71">
        <v>13</v>
      </c>
      <c r="B196" s="72" t="s">
        <v>315</v>
      </c>
      <c r="C196" s="73">
        <v>19.136983333333333</v>
      </c>
      <c r="D196" s="74">
        <v>8.0699083333337711</v>
      </c>
      <c r="E196" s="73">
        <v>445.27091136079957</v>
      </c>
      <c r="F196" s="75">
        <v>3.4727532103366585E-3</v>
      </c>
      <c r="G196" s="76">
        <v>8.0217209311774836E-3</v>
      </c>
      <c r="H196" s="72" t="s">
        <v>316</v>
      </c>
      <c r="I196" s="72" t="s">
        <v>317</v>
      </c>
    </row>
    <row r="197" spans="1:9" ht="12.75" customHeight="1" x14ac:dyDescent="0.2">
      <c r="A197" s="71" t="s">
        <v>48</v>
      </c>
      <c r="B197" s="72" t="s">
        <v>312</v>
      </c>
      <c r="C197" s="73" t="s">
        <v>48</v>
      </c>
      <c r="D197" s="74" t="s">
        <v>48</v>
      </c>
      <c r="E197" s="73" t="s">
        <v>48</v>
      </c>
      <c r="F197" s="75" t="s">
        <v>48</v>
      </c>
      <c r="G197" s="76" t="s">
        <v>48</v>
      </c>
      <c r="H197" s="72" t="s">
        <v>313</v>
      </c>
      <c r="I197" s="72" t="s">
        <v>314</v>
      </c>
    </row>
    <row r="198" spans="1:9" ht="12.75" customHeight="1" x14ac:dyDescent="0.2">
      <c r="A198" s="71">
        <v>5</v>
      </c>
      <c r="B198" s="72" t="s">
        <v>315</v>
      </c>
      <c r="C198" s="73">
        <v>19.205650000000002</v>
      </c>
      <c r="D198" s="74">
        <v>2.8143916666665802</v>
      </c>
      <c r="E198" s="73">
        <v>319.02038834951099</v>
      </c>
      <c r="F198" s="75">
        <v>1.211127474049446E-3</v>
      </c>
      <c r="G198" s="76">
        <v>5.7472708443377938E-3</v>
      </c>
      <c r="H198" s="72" t="s">
        <v>316</v>
      </c>
      <c r="I198" s="72" t="s">
        <v>317</v>
      </c>
    </row>
    <row r="199" spans="1:9" ht="12.75" customHeight="1" x14ac:dyDescent="0.2">
      <c r="A199" s="71">
        <v>7</v>
      </c>
      <c r="B199" s="72" t="s">
        <v>312</v>
      </c>
      <c r="C199" s="73">
        <v>19.280033333333332</v>
      </c>
      <c r="D199" s="74">
        <v>0.87576666666640079</v>
      </c>
      <c r="E199" s="73">
        <v>437.10560815732333</v>
      </c>
      <c r="F199" s="75">
        <v>3.7687187729370066E-4</v>
      </c>
      <c r="G199" s="76">
        <v>7.8746199597339167E-3</v>
      </c>
      <c r="H199" s="72" t="s">
        <v>313</v>
      </c>
      <c r="I199" s="72" t="s">
        <v>314</v>
      </c>
    </row>
    <row r="200" spans="1:9" ht="12.75" customHeight="1" x14ac:dyDescent="0.2">
      <c r="A200" s="71" t="s">
        <v>48</v>
      </c>
      <c r="B200" s="72" t="s">
        <v>305</v>
      </c>
      <c r="C200" s="73" t="s">
        <v>48</v>
      </c>
      <c r="D200" s="74" t="s">
        <v>48</v>
      </c>
      <c r="E200" s="73" t="s">
        <v>48</v>
      </c>
      <c r="F200" s="75" t="s">
        <v>48</v>
      </c>
      <c r="G200" s="76" t="s">
        <v>48</v>
      </c>
      <c r="H200" s="72" t="s">
        <v>23</v>
      </c>
      <c r="I200" s="72" t="s">
        <v>306</v>
      </c>
    </row>
    <row r="201" spans="1:9" ht="12.75" customHeight="1" x14ac:dyDescent="0.2">
      <c r="A201" s="71" t="s">
        <v>48</v>
      </c>
      <c r="B201" s="72" t="s">
        <v>312</v>
      </c>
      <c r="C201" s="73" t="s">
        <v>48</v>
      </c>
      <c r="D201" s="74" t="s">
        <v>48</v>
      </c>
      <c r="E201" s="73" t="s">
        <v>48</v>
      </c>
      <c r="F201" s="75" t="s">
        <v>48</v>
      </c>
      <c r="G201" s="76" t="s">
        <v>48</v>
      </c>
      <c r="H201" s="72" t="s">
        <v>313</v>
      </c>
      <c r="I201" s="72" t="s">
        <v>314</v>
      </c>
    </row>
    <row r="202" spans="1:9" ht="12.75" customHeight="1" x14ac:dyDescent="0.2">
      <c r="A202" s="71">
        <v>5</v>
      </c>
      <c r="B202" s="72" t="s">
        <v>315</v>
      </c>
      <c r="C202" s="73">
        <v>19.365866666666665</v>
      </c>
      <c r="D202" s="74">
        <v>8.9543666666669139</v>
      </c>
      <c r="E202" s="73">
        <v>374.24972697488147</v>
      </c>
      <c r="F202" s="75">
        <v>3.8533654043815943E-3</v>
      </c>
      <c r="G202" s="76">
        <v>6.742247902938499E-3</v>
      </c>
      <c r="H202" s="72" t="s">
        <v>316</v>
      </c>
      <c r="I202" s="72" t="s">
        <v>317</v>
      </c>
    </row>
    <row r="203" spans="1:9" ht="12.75" customHeight="1" x14ac:dyDescent="0.2">
      <c r="A203" s="71">
        <v>8</v>
      </c>
      <c r="B203" s="72" t="s">
        <v>312</v>
      </c>
      <c r="C203" s="73">
        <v>19.428799999999999</v>
      </c>
      <c r="D203" s="74">
        <v>1.790824999999959</v>
      </c>
      <c r="E203" s="73">
        <v>169.6776699029142</v>
      </c>
      <c r="F203" s="75">
        <v>7.7065228141591849E-4</v>
      </c>
      <c r="G203" s="76">
        <v>3.0568062756534667E-3</v>
      </c>
      <c r="H203" s="72" t="s">
        <v>313</v>
      </c>
      <c r="I203" s="72" t="s">
        <v>314</v>
      </c>
    </row>
    <row r="204" spans="1:9" ht="12.75" customHeight="1" x14ac:dyDescent="0.2">
      <c r="A204" s="71">
        <v>5</v>
      </c>
      <c r="B204" s="72" t="s">
        <v>312</v>
      </c>
      <c r="C204" s="73">
        <v>19.428799999999999</v>
      </c>
      <c r="D204" s="74">
        <v>1.790824999999959</v>
      </c>
      <c r="E204" s="73">
        <v>169.6776699029142</v>
      </c>
      <c r="F204" s="75">
        <v>7.7065228141591849E-4</v>
      </c>
      <c r="G204" s="76">
        <v>3.0568062756534667E-3</v>
      </c>
      <c r="H204" s="72" t="s">
        <v>313</v>
      </c>
      <c r="I204" s="72" t="s">
        <v>314</v>
      </c>
    </row>
    <row r="205" spans="1:9" ht="12.75" customHeight="1" x14ac:dyDescent="0.2">
      <c r="A205" s="71">
        <v>9</v>
      </c>
      <c r="B205" s="72" t="s">
        <v>305</v>
      </c>
      <c r="C205" s="73">
        <v>19.508916666666668</v>
      </c>
      <c r="D205" s="74">
        <v>29.11441825974731</v>
      </c>
      <c r="E205" s="73">
        <v>1520.1580561091523</v>
      </c>
      <c r="F205" s="75">
        <v>1.252891424565329E-2</v>
      </c>
      <c r="G205" s="76">
        <v>2.7386212272707679E-2</v>
      </c>
      <c r="H205" s="72" t="s">
        <v>23</v>
      </c>
      <c r="I205" s="72" t="s">
        <v>306</v>
      </c>
    </row>
    <row r="206" spans="1:9" ht="12.75" customHeight="1" x14ac:dyDescent="0.2">
      <c r="A206" s="71" t="s">
        <v>48</v>
      </c>
      <c r="B206" s="72" t="s">
        <v>312</v>
      </c>
      <c r="C206" s="73" t="s">
        <v>48</v>
      </c>
      <c r="D206" s="74" t="s">
        <v>48</v>
      </c>
      <c r="E206" s="73" t="s">
        <v>48</v>
      </c>
      <c r="F206" s="75" t="s">
        <v>48</v>
      </c>
      <c r="G206" s="76" t="s">
        <v>48</v>
      </c>
      <c r="H206" s="72" t="s">
        <v>313</v>
      </c>
      <c r="I206" s="72" t="s">
        <v>314</v>
      </c>
    </row>
    <row r="207" spans="1:9" ht="12.75" customHeight="1" x14ac:dyDescent="0.2">
      <c r="A207" s="71">
        <v>4</v>
      </c>
      <c r="B207" s="72" t="s">
        <v>312</v>
      </c>
      <c r="C207" s="73">
        <v>19.663399999999999</v>
      </c>
      <c r="D207" s="74">
        <v>8.0451269725174726</v>
      </c>
      <c r="E207" s="73">
        <v>449.44414893617022</v>
      </c>
      <c r="F207" s="75">
        <v>3.4620889565711186E-3</v>
      </c>
      <c r="G207" s="76">
        <v>8.0969033568760746E-3</v>
      </c>
      <c r="H207" s="72" t="s">
        <v>313</v>
      </c>
      <c r="I207" s="72" t="s">
        <v>314</v>
      </c>
    </row>
    <row r="208" spans="1:9" ht="12.75" customHeight="1" x14ac:dyDescent="0.2">
      <c r="A208" s="71">
        <v>5</v>
      </c>
      <c r="B208" s="72" t="s">
        <v>312</v>
      </c>
      <c r="C208" s="73">
        <v>19.663399999999999</v>
      </c>
      <c r="D208" s="74">
        <v>8.0451269725174726</v>
      </c>
      <c r="E208" s="73">
        <v>449.44414893617022</v>
      </c>
      <c r="F208" s="75">
        <v>3.4620889565711186E-3</v>
      </c>
      <c r="G208" s="76">
        <v>8.0969033568760746E-3</v>
      </c>
      <c r="H208" s="72" t="s">
        <v>313</v>
      </c>
      <c r="I208" s="72" t="s">
        <v>314</v>
      </c>
    </row>
    <row r="209" spans="1:9" ht="12.75" customHeight="1" x14ac:dyDescent="0.2">
      <c r="A209" s="71">
        <v>6</v>
      </c>
      <c r="B209" s="72" t="s">
        <v>312</v>
      </c>
      <c r="C209" s="73">
        <v>19.777850000000001</v>
      </c>
      <c r="D209" s="74">
        <v>0.79461666666662722</v>
      </c>
      <c r="E209" s="73">
        <v>87.333333333320979</v>
      </c>
      <c r="F209" s="75">
        <v>3.4195030056971662E-4</v>
      </c>
      <c r="G209" s="76">
        <v>1.5733424531335261E-3</v>
      </c>
      <c r="H209" s="72" t="s">
        <v>313</v>
      </c>
      <c r="I209" s="72" t="s">
        <v>314</v>
      </c>
    </row>
    <row r="210" spans="1:9" ht="12.75" customHeight="1" x14ac:dyDescent="0.2">
      <c r="A210" s="71">
        <v>4</v>
      </c>
      <c r="B210" s="72" t="s">
        <v>312</v>
      </c>
      <c r="C210" s="73">
        <v>19.829350000000002</v>
      </c>
      <c r="D210" s="74">
        <v>4.5440999999999363</v>
      </c>
      <c r="E210" s="73">
        <v>594</v>
      </c>
      <c r="F210" s="75">
        <v>1.9554791964497401E-3</v>
      </c>
      <c r="G210" s="76">
        <v>1.0701130730856259E-2</v>
      </c>
      <c r="H210" s="72" t="s">
        <v>313</v>
      </c>
      <c r="I210" s="72" t="s">
        <v>314</v>
      </c>
    </row>
    <row r="211" spans="1:9" ht="12.75" customHeight="1" x14ac:dyDescent="0.2">
      <c r="A211" s="71">
        <v>13</v>
      </c>
      <c r="B211" s="72" t="s">
        <v>312</v>
      </c>
      <c r="C211" s="73">
        <v>19.898016666666667</v>
      </c>
      <c r="D211" s="74">
        <v>23.268666666666718</v>
      </c>
      <c r="E211" s="73">
        <v>793.19982522575015</v>
      </c>
      <c r="F211" s="75">
        <v>1.0013290551658399E-2</v>
      </c>
      <c r="G211" s="76">
        <v>1.4289789605106207E-2</v>
      </c>
      <c r="H211" s="72" t="s">
        <v>313</v>
      </c>
      <c r="I211" s="72" t="s">
        <v>314</v>
      </c>
    </row>
    <row r="212" spans="1:9" ht="12.75" customHeight="1" x14ac:dyDescent="0.2">
      <c r="A212" s="77">
        <v>5</v>
      </c>
      <c r="B212" s="78" t="s">
        <v>312</v>
      </c>
      <c r="C212" s="79">
        <v>19.983833333333333</v>
      </c>
      <c r="D212" s="80">
        <v>8.767683333332954</v>
      </c>
      <c r="E212" s="79">
        <v>328.05992509363068</v>
      </c>
      <c r="F212" s="81">
        <v>3.7730292817922026E-3</v>
      </c>
      <c r="G212" s="82">
        <v>5.9101214578819077E-3</v>
      </c>
      <c r="H212" s="78" t="s">
        <v>313</v>
      </c>
      <c r="I212" s="78" t="s">
        <v>314</v>
      </c>
    </row>
    <row r="213" spans="1:9" ht="16.5" customHeight="1" x14ac:dyDescent="0.2">
      <c r="A213" s="83" t="s">
        <v>318</v>
      </c>
      <c r="B213" s="84"/>
      <c r="C213" s="85"/>
      <c r="D213" s="86">
        <f>SUM(D44:D212)</f>
        <v>34346.701137005402</v>
      </c>
      <c r="E213" s="86">
        <f>SUM(E44:E212)</f>
        <v>845258.71132803289</v>
      </c>
      <c r="F213" s="86">
        <f>SUM(F44:F212)</f>
        <v>14.780541700246832</v>
      </c>
      <c r="G213" s="86">
        <f>SUM(I44:I212)</f>
        <v>0</v>
      </c>
      <c r="H213" s="87"/>
      <c r="I213" s="41"/>
    </row>
  </sheetData>
  <mergeCells count="1">
    <mergeCell ref="A1:H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
Sequence:forest_4hr.AIA&amp;R&amp;08&amp;"Microsoft Sans Serif"Page &amp;P of &amp;N</oddHeader>
    <oddFooter>&amp;L&amp;08&amp;"Microsoft Sans Serif"Default/&amp;A &amp;R&amp;08&amp;"Microsoft Sans Serif"© 2009-2023 Thermo Fisher Scientific Inc. All rights reserved.
Chromeleon 7.3.2.10759</oddFooter>
    <evenHeader>&amp;L&amp;08&amp;"Microsoft Sans Serif"Instrument:
Sequence:forest_4hr.AIA&amp;R&amp;08&amp;"Microsoft Sans Serif"Page &amp;P of &amp;N</evenHeader>
    <evenFooter>&amp;L&amp;08&amp;"Microsoft Sans Serif"Default/&amp;A &amp;R&amp;08&amp;"Microsoft Sans Serif"© 2009-2023 Thermo Fisher Scientific Inc. All rights reserved.
Chromeleon 7.3.2.10759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4AD0-55EB-4851-887F-5BC6B73817CA}">
  <dimension ref="A1:J213"/>
  <sheetViews>
    <sheetView workbookViewId="0">
      <selection sqref="A1:XFD1048576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4.5703125" customWidth="1"/>
    <col min="9" max="9" width="15.85546875" customWidth="1"/>
  </cols>
  <sheetData>
    <row r="1" spans="1:8" ht="21" x14ac:dyDescent="0.2">
      <c r="A1" s="240" t="s">
        <v>37</v>
      </c>
      <c r="B1" s="241"/>
      <c r="C1" s="241"/>
      <c r="D1" s="241"/>
      <c r="E1" s="241"/>
      <c r="F1" s="241"/>
      <c r="G1" s="241"/>
      <c r="H1" s="242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46286.988888888889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14" spans="1:8" ht="12.75" customHeight="1" x14ac:dyDescent="0.2"/>
    <row r="15" spans="1:8" ht="12.75" customHeight="1" x14ac:dyDescent="0.2"/>
    <row r="16" spans="1: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10" ht="12.75" customHeight="1" x14ac:dyDescent="0.2"/>
    <row r="34" spans="1:10" ht="12.75" customHeight="1" x14ac:dyDescent="0.2"/>
    <row r="35" spans="1:10" ht="12.75" customHeight="1" x14ac:dyDescent="0.2"/>
    <row r="36" spans="1:10" ht="12.75" customHeight="1" x14ac:dyDescent="0.2"/>
    <row r="37" spans="1:10" ht="12.75" customHeight="1" x14ac:dyDescent="0.2"/>
    <row r="38" spans="1:10" ht="12.75" customHeight="1" x14ac:dyDescent="0.2"/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23</v>
      </c>
      <c r="I42" s="61" t="s">
        <v>23</v>
      </c>
      <c r="J42" s="58"/>
    </row>
    <row r="43" spans="1:10" ht="12.75" hidden="1" customHeight="1" x14ac:dyDescent="0.2">
      <c r="A43" s="62" t="s">
        <v>71</v>
      </c>
      <c r="B43" s="63" t="s">
        <v>71</v>
      </c>
      <c r="C43" s="64" t="s">
        <v>71</v>
      </c>
      <c r="D43" s="64" t="s">
        <v>71</v>
      </c>
      <c r="E43" s="64" t="s">
        <v>71</v>
      </c>
      <c r="F43" s="64" t="s">
        <v>71</v>
      </c>
      <c r="G43" s="64" t="s">
        <v>71</v>
      </c>
      <c r="H43" s="64" t="s">
        <v>71</v>
      </c>
      <c r="I43" s="64" t="s">
        <v>71</v>
      </c>
      <c r="J43" s="58"/>
    </row>
    <row r="44" spans="1:10" ht="12.75" customHeight="1" x14ac:dyDescent="0.2">
      <c r="A44" s="65">
        <v>1</v>
      </c>
      <c r="B44" s="66" t="s">
        <v>72</v>
      </c>
      <c r="C44" s="67">
        <v>3.13835</v>
      </c>
      <c r="D44" s="68">
        <v>20.425066666666567</v>
      </c>
      <c r="E44" s="67">
        <v>1018.4135922330097</v>
      </c>
      <c r="F44" s="69">
        <v>8.789593748545604E-3</v>
      </c>
      <c r="G44" s="70">
        <v>1.83470993073508E-2</v>
      </c>
      <c r="H44" s="66" t="s">
        <v>73</v>
      </c>
      <c r="I44" s="66" t="s">
        <v>74</v>
      </c>
    </row>
    <row r="45" spans="1:10" ht="12.75" customHeight="1" x14ac:dyDescent="0.2">
      <c r="A45" s="71">
        <v>3</v>
      </c>
      <c r="B45" s="72" t="s">
        <v>75</v>
      </c>
      <c r="C45" s="73">
        <v>3.1955666666666667</v>
      </c>
      <c r="D45" s="74">
        <v>7.5202083333334144</v>
      </c>
      <c r="E45" s="73">
        <v>592.97523670793862</v>
      </c>
      <c r="F45" s="75">
        <v>3.2361987959775695E-3</v>
      </c>
      <c r="G45" s="76">
        <v>1.0682669239346946E-2</v>
      </c>
      <c r="H45" s="72" t="s">
        <v>76</v>
      </c>
      <c r="I45" s="72" t="s">
        <v>77</v>
      </c>
    </row>
    <row r="46" spans="1:10" ht="12.75" customHeight="1" x14ac:dyDescent="0.2">
      <c r="A46" s="71">
        <v>5</v>
      </c>
      <c r="B46" s="72" t="s">
        <v>78</v>
      </c>
      <c r="C46" s="73">
        <v>3.3157333333333332</v>
      </c>
      <c r="D46" s="74">
        <v>5.4255210598704764</v>
      </c>
      <c r="E46" s="73">
        <v>332.58155339805307</v>
      </c>
      <c r="F46" s="75">
        <v>2.3347843494810438E-3</v>
      </c>
      <c r="G46" s="76">
        <v>5.9915802720266285E-3</v>
      </c>
      <c r="H46" s="72" t="s">
        <v>79</v>
      </c>
      <c r="I46" s="72" t="s">
        <v>80</v>
      </c>
    </row>
    <row r="47" spans="1:10" ht="12.75" customHeight="1" x14ac:dyDescent="0.2">
      <c r="A47" s="71">
        <v>7</v>
      </c>
      <c r="B47" s="72" t="s">
        <v>75</v>
      </c>
      <c r="C47" s="73">
        <v>3.3443499999999999</v>
      </c>
      <c r="D47" s="74">
        <v>2.7179083333332414</v>
      </c>
      <c r="E47" s="73">
        <v>268.10839160838668</v>
      </c>
      <c r="F47" s="75">
        <v>1.169607447831389E-3</v>
      </c>
      <c r="G47" s="76">
        <v>4.8300723041093448E-3</v>
      </c>
      <c r="H47" s="72" t="s">
        <v>76</v>
      </c>
      <c r="I47" s="72" t="s">
        <v>77</v>
      </c>
    </row>
    <row r="48" spans="1:10" ht="12.75" customHeight="1" x14ac:dyDescent="0.2">
      <c r="A48" s="71">
        <v>10</v>
      </c>
      <c r="B48" s="72" t="s">
        <v>78</v>
      </c>
      <c r="C48" s="73">
        <v>3.52745</v>
      </c>
      <c r="D48" s="74">
        <v>5.0184250000000077</v>
      </c>
      <c r="E48" s="73">
        <v>259.02427184466035</v>
      </c>
      <c r="F48" s="75">
        <v>2.1595972109864311E-3</v>
      </c>
      <c r="G48" s="76">
        <v>4.6664185108999338E-3</v>
      </c>
      <c r="H48" s="72" t="s">
        <v>79</v>
      </c>
      <c r="I48" s="72" t="s">
        <v>80</v>
      </c>
    </row>
    <row r="49" spans="1:9" ht="12.75" customHeight="1" x14ac:dyDescent="0.2">
      <c r="A49" s="71">
        <v>3</v>
      </c>
      <c r="B49" s="72" t="s">
        <v>78</v>
      </c>
      <c r="C49" s="73">
        <v>3.6075500000000003</v>
      </c>
      <c r="D49" s="74">
        <v>7.1137249999999739</v>
      </c>
      <c r="E49" s="73">
        <v>421.33592233009693</v>
      </c>
      <c r="F49" s="75">
        <v>3.0612753343378391E-3</v>
      </c>
      <c r="G49" s="76">
        <v>7.5905232095290669E-3</v>
      </c>
      <c r="H49" s="72" t="s">
        <v>79</v>
      </c>
      <c r="I49" s="72" t="s">
        <v>80</v>
      </c>
    </row>
    <row r="50" spans="1:9" ht="12.75" customHeight="1" x14ac:dyDescent="0.2">
      <c r="A50" s="71">
        <v>4</v>
      </c>
      <c r="B50" s="72" t="s">
        <v>78</v>
      </c>
      <c r="C50" s="73">
        <v>3.6705000000000001</v>
      </c>
      <c r="D50" s="74">
        <v>6.931158333333336</v>
      </c>
      <c r="E50" s="73">
        <v>251.59598019225166</v>
      </c>
      <c r="F50" s="75">
        <v>2.9827107519933066E-3</v>
      </c>
      <c r="G50" s="76">
        <v>4.5325950764229066E-3</v>
      </c>
      <c r="H50" s="72" t="s">
        <v>79</v>
      </c>
      <c r="I50" s="72" t="s">
        <v>80</v>
      </c>
    </row>
    <row r="51" spans="1:9" ht="12.75" customHeight="1" x14ac:dyDescent="0.2">
      <c r="A51" s="71">
        <v>12</v>
      </c>
      <c r="B51" s="72" t="s">
        <v>81</v>
      </c>
      <c r="C51" s="73">
        <v>3.8936500000000001</v>
      </c>
      <c r="D51" s="74">
        <v>316.5036416666664</v>
      </c>
      <c r="E51" s="73">
        <v>3300</v>
      </c>
      <c r="F51" s="75">
        <v>0.13620217136061225</v>
      </c>
      <c r="G51" s="76">
        <v>5.9450726282534769E-2</v>
      </c>
      <c r="H51" s="72" t="s">
        <v>23</v>
      </c>
      <c r="I51" s="72" t="s">
        <v>82</v>
      </c>
    </row>
    <row r="52" spans="1:9" ht="12.75" customHeight="1" x14ac:dyDescent="0.2">
      <c r="A52" s="71">
        <v>6</v>
      </c>
      <c r="B52" s="72" t="s">
        <v>83</v>
      </c>
      <c r="C52" s="73">
        <v>4.0653166666666669</v>
      </c>
      <c r="D52" s="74">
        <v>1.1962833333333194</v>
      </c>
      <c r="E52" s="73">
        <v>88.400116482236456</v>
      </c>
      <c r="F52" s="75">
        <v>5.1480098840097905E-4</v>
      </c>
      <c r="G52" s="76">
        <v>1.5925609479786758E-3</v>
      </c>
      <c r="H52" s="72" t="s">
        <v>84</v>
      </c>
      <c r="I52" s="72" t="s">
        <v>85</v>
      </c>
    </row>
    <row r="53" spans="1:9" ht="12.75" customHeight="1" x14ac:dyDescent="0.2">
      <c r="A53" s="71">
        <v>6</v>
      </c>
      <c r="B53" s="72" t="s">
        <v>86</v>
      </c>
      <c r="C53" s="73">
        <v>4.2484166666666665</v>
      </c>
      <c r="D53" s="74">
        <v>3.3858666666667219</v>
      </c>
      <c r="E53" s="73">
        <v>400</v>
      </c>
      <c r="F53" s="75">
        <v>1.4570524039126548E-3</v>
      </c>
      <c r="G53" s="76">
        <v>7.2061486403072446E-3</v>
      </c>
      <c r="H53" s="72" t="s">
        <v>23</v>
      </c>
      <c r="I53" s="72" t="s">
        <v>87</v>
      </c>
    </row>
    <row r="54" spans="1:9" ht="12.75" customHeight="1" x14ac:dyDescent="0.2">
      <c r="A54" s="71">
        <v>15</v>
      </c>
      <c r="B54" s="72" t="s">
        <v>88</v>
      </c>
      <c r="C54" s="73">
        <v>4.5516833333333331</v>
      </c>
      <c r="D54" s="74">
        <v>1.9836833333333108</v>
      </c>
      <c r="E54" s="73">
        <v>181</v>
      </c>
      <c r="F54" s="75">
        <v>8.5364571437191524E-4</v>
      </c>
      <c r="G54" s="76">
        <v>3.2607822597390283E-3</v>
      </c>
      <c r="H54" s="72" t="s">
        <v>23</v>
      </c>
      <c r="I54" s="72" t="s">
        <v>89</v>
      </c>
    </row>
    <row r="55" spans="1:9" ht="12.75" customHeight="1" x14ac:dyDescent="0.2">
      <c r="A55" s="71">
        <v>3</v>
      </c>
      <c r="B55" s="72" t="s">
        <v>90</v>
      </c>
      <c r="C55" s="73">
        <v>5.2154333333333334</v>
      </c>
      <c r="D55" s="74">
        <v>51.286022274198295</v>
      </c>
      <c r="E55" s="73">
        <v>1159.0909090909097</v>
      </c>
      <c r="F55" s="75">
        <v>2.207010180802671E-2</v>
      </c>
      <c r="G55" s="76">
        <v>2.0881453446344869E-2</v>
      </c>
      <c r="H55" s="72" t="s">
        <v>91</v>
      </c>
      <c r="I55" s="72" t="s">
        <v>92</v>
      </c>
    </row>
    <row r="56" spans="1:9" ht="12.75" customHeight="1" x14ac:dyDescent="0.2">
      <c r="A56" s="71">
        <v>2</v>
      </c>
      <c r="B56" s="72" t="s">
        <v>93</v>
      </c>
      <c r="C56" s="73">
        <v>5.2211499999999997</v>
      </c>
      <c r="D56" s="74">
        <v>144.17027612703956</v>
      </c>
      <c r="E56" s="73">
        <v>1416.2574104746132</v>
      </c>
      <c r="F56" s="75">
        <v>6.2041322971071164E-2</v>
      </c>
      <c r="G56" s="76">
        <v>2.5514403532041732E-2</v>
      </c>
      <c r="H56" s="72" t="s">
        <v>23</v>
      </c>
      <c r="I56" s="72" t="s">
        <v>94</v>
      </c>
    </row>
    <row r="57" spans="1:9" ht="12.75" customHeight="1" x14ac:dyDescent="0.2">
      <c r="A57" s="71">
        <v>3</v>
      </c>
      <c r="B57" s="72" t="s">
        <v>93</v>
      </c>
      <c r="C57" s="73">
        <v>5.3127000000000004</v>
      </c>
      <c r="D57" s="74">
        <v>61.616107206293705</v>
      </c>
      <c r="E57" s="73">
        <v>820.0615112227996</v>
      </c>
      <c r="F57" s="75">
        <v>2.6515485092345234E-2</v>
      </c>
      <c r="G57" s="76">
        <v>1.4773712860166203E-2</v>
      </c>
      <c r="H57" s="72" t="s">
        <v>23</v>
      </c>
      <c r="I57" s="72" t="s">
        <v>94</v>
      </c>
    </row>
    <row r="58" spans="1:9" ht="12.75" customHeight="1" x14ac:dyDescent="0.2">
      <c r="A58" s="71">
        <v>3</v>
      </c>
      <c r="B58" s="72" t="s">
        <v>93</v>
      </c>
      <c r="C58" s="73">
        <v>5.3127000000000004</v>
      </c>
      <c r="D58" s="74">
        <v>61.616107206293705</v>
      </c>
      <c r="E58" s="73">
        <v>820.0615112227996</v>
      </c>
      <c r="F58" s="75">
        <v>2.6515485092345234E-2</v>
      </c>
      <c r="G58" s="76">
        <v>1.4773712860166203E-2</v>
      </c>
      <c r="H58" s="72" t="s">
        <v>23</v>
      </c>
      <c r="I58" s="72" t="s">
        <v>94</v>
      </c>
    </row>
    <row r="59" spans="1:9" ht="12.75" customHeight="1" x14ac:dyDescent="0.2">
      <c r="A59" s="71">
        <v>2</v>
      </c>
      <c r="B59" s="72" t="s">
        <v>95</v>
      </c>
      <c r="C59" s="73">
        <v>6.6459166666666665</v>
      </c>
      <c r="D59" s="74">
        <v>0.85874999999999702</v>
      </c>
      <c r="E59" s="73">
        <v>150</v>
      </c>
      <c r="F59" s="75">
        <v>3.6954903280104584E-4</v>
      </c>
      <c r="G59" s="76">
        <v>2.7023057401152168E-3</v>
      </c>
      <c r="H59" s="72" t="s">
        <v>23</v>
      </c>
      <c r="I59" s="72" t="s">
        <v>96</v>
      </c>
    </row>
    <row r="60" spans="1:9" ht="12.75" customHeight="1" x14ac:dyDescent="0.2">
      <c r="A60" s="71">
        <v>2</v>
      </c>
      <c r="B60" s="72" t="s">
        <v>97</v>
      </c>
      <c r="C60" s="73">
        <v>6.8919666666666668</v>
      </c>
      <c r="D60" s="74">
        <v>99.514233333332712</v>
      </c>
      <c r="E60" s="73">
        <v>2814</v>
      </c>
      <c r="F60" s="75">
        <v>4.2824324516181456E-2</v>
      </c>
      <c r="G60" s="76">
        <v>5.0695255684561465E-2</v>
      </c>
      <c r="H60" s="72" t="s">
        <v>23</v>
      </c>
      <c r="I60" s="72" t="s">
        <v>98</v>
      </c>
    </row>
    <row r="61" spans="1:9" ht="12.75" customHeight="1" x14ac:dyDescent="0.2">
      <c r="A61" s="71">
        <v>3</v>
      </c>
      <c r="B61" s="72" t="s">
        <v>99</v>
      </c>
      <c r="C61" s="73">
        <v>7.0064000000000002</v>
      </c>
      <c r="D61" s="74">
        <v>6.7114416666666363</v>
      </c>
      <c r="E61" s="73">
        <v>290</v>
      </c>
      <c r="F61" s="75">
        <v>2.8881592740812845E-3</v>
      </c>
      <c r="G61" s="76">
        <v>5.224457764222752E-3</v>
      </c>
      <c r="H61" s="72" t="s">
        <v>23</v>
      </c>
      <c r="I61" s="72" t="s">
        <v>100</v>
      </c>
    </row>
    <row r="62" spans="1:9" ht="12.75" customHeight="1" x14ac:dyDescent="0.2">
      <c r="A62" s="71">
        <v>9</v>
      </c>
      <c r="B62" s="72" t="s">
        <v>101</v>
      </c>
      <c r="C62" s="73">
        <v>7.1093999999999999</v>
      </c>
      <c r="D62" s="74">
        <v>1.0690166666666943</v>
      </c>
      <c r="E62" s="73">
        <v>187</v>
      </c>
      <c r="F62" s="75">
        <v>4.6003385760102036E-4</v>
      </c>
      <c r="G62" s="76">
        <v>3.3688744893436368E-3</v>
      </c>
      <c r="H62" s="72" t="s">
        <v>23</v>
      </c>
      <c r="I62" s="72" t="s">
        <v>102</v>
      </c>
    </row>
    <row r="63" spans="1:9" ht="12.75" customHeight="1" x14ac:dyDescent="0.2">
      <c r="A63" s="71">
        <v>1</v>
      </c>
      <c r="B63" s="72" t="s">
        <v>103</v>
      </c>
      <c r="C63" s="73">
        <v>7.3039500000000004</v>
      </c>
      <c r="D63" s="74">
        <v>5.8821166666667102</v>
      </c>
      <c r="E63" s="73">
        <v>382</v>
      </c>
      <c r="F63" s="75">
        <v>2.5312728093037579E-3</v>
      </c>
      <c r="G63" s="76">
        <v>6.8818719514934183E-3</v>
      </c>
      <c r="H63" s="72" t="s">
        <v>23</v>
      </c>
      <c r="I63" s="72" t="s">
        <v>104</v>
      </c>
    </row>
    <row r="64" spans="1:9" ht="12.75" customHeight="1" x14ac:dyDescent="0.2">
      <c r="A64" s="71">
        <v>8</v>
      </c>
      <c r="B64" s="72" t="s">
        <v>105</v>
      </c>
      <c r="C64" s="73">
        <v>7.567166666666667</v>
      </c>
      <c r="D64" s="74">
        <v>192.28308416252614</v>
      </c>
      <c r="E64" s="73">
        <v>3054.383106313715</v>
      </c>
      <c r="F64" s="75">
        <v>8.2745883873378598E-2</v>
      </c>
      <c r="G64" s="76">
        <v>5.5025846671349993E-2</v>
      </c>
      <c r="H64" s="72" t="s">
        <v>106</v>
      </c>
      <c r="I64" s="72" t="s">
        <v>107</v>
      </c>
    </row>
    <row r="65" spans="1:9" ht="12.75" customHeight="1" x14ac:dyDescent="0.2">
      <c r="A65" s="71">
        <v>11</v>
      </c>
      <c r="B65" s="72" t="s">
        <v>108</v>
      </c>
      <c r="C65" s="73">
        <v>7.6930500000000004</v>
      </c>
      <c r="D65" s="74">
        <v>0.91599999999999682</v>
      </c>
      <c r="E65" s="73">
        <v>160</v>
      </c>
      <c r="F65" s="75">
        <v>3.9418563498778221E-4</v>
      </c>
      <c r="G65" s="76">
        <v>2.8824594561228977E-3</v>
      </c>
      <c r="H65" s="72" t="s">
        <v>23</v>
      </c>
      <c r="I65" s="72" t="s">
        <v>109</v>
      </c>
    </row>
    <row r="66" spans="1:9" ht="12.75" customHeight="1" x14ac:dyDescent="0.2">
      <c r="A66" s="71">
        <v>9</v>
      </c>
      <c r="B66" s="72" t="s">
        <v>110</v>
      </c>
      <c r="C66" s="73">
        <v>7.8017666666666665</v>
      </c>
      <c r="D66" s="74">
        <v>3.8349500000000027</v>
      </c>
      <c r="E66" s="73">
        <v>248.59580663948782</v>
      </c>
      <c r="F66" s="75">
        <v>1.6503080795812247E-3</v>
      </c>
      <c r="G66" s="76">
        <v>4.4785458350030697E-3</v>
      </c>
      <c r="H66" s="72" t="s">
        <v>111</v>
      </c>
      <c r="I66" s="72" t="s">
        <v>112</v>
      </c>
    </row>
    <row r="67" spans="1:9" ht="12.75" customHeight="1" x14ac:dyDescent="0.2">
      <c r="A67" s="71">
        <v>6</v>
      </c>
      <c r="B67" s="72" t="s">
        <v>110</v>
      </c>
      <c r="C67" s="73">
        <v>7.8875833333333336</v>
      </c>
      <c r="D67" s="74">
        <v>8.5167083333334261</v>
      </c>
      <c r="E67" s="73">
        <v>266.65495145631155</v>
      </c>
      <c r="F67" s="75">
        <v>3.665026290808717E-3</v>
      </c>
      <c r="G67" s="76">
        <v>4.8038880396702342E-3</v>
      </c>
      <c r="H67" s="72" t="s">
        <v>111</v>
      </c>
      <c r="I67" s="72" t="s">
        <v>112</v>
      </c>
    </row>
    <row r="68" spans="1:9" ht="12.75" customHeight="1" x14ac:dyDescent="0.2">
      <c r="A68" s="71">
        <v>7</v>
      </c>
      <c r="B68" s="72" t="s">
        <v>113</v>
      </c>
      <c r="C68" s="73">
        <v>8.0134666666666661</v>
      </c>
      <c r="D68" s="74">
        <v>5.9007249999999214</v>
      </c>
      <c r="E68" s="73">
        <v>407.40574282147242</v>
      </c>
      <c r="F68" s="75">
        <v>2.5392806015428586E-3</v>
      </c>
      <c r="G68" s="76">
        <v>7.3395658492157916E-3</v>
      </c>
      <c r="H68" s="72" t="s">
        <v>114</v>
      </c>
      <c r="I68" s="72" t="s">
        <v>115</v>
      </c>
    </row>
    <row r="69" spans="1:9" ht="12.75" customHeight="1" x14ac:dyDescent="0.2">
      <c r="A69" s="71">
        <v>5</v>
      </c>
      <c r="B69" s="72" t="s">
        <v>116</v>
      </c>
      <c r="C69" s="73">
        <v>8.0707000000000004</v>
      </c>
      <c r="D69" s="74">
        <v>6.8110833333332543</v>
      </c>
      <c r="E69" s="73">
        <v>236</v>
      </c>
      <c r="F69" s="75">
        <v>2.9310384374505219E-3</v>
      </c>
      <c r="G69" s="76">
        <v>4.2516276977812746E-3</v>
      </c>
      <c r="H69" s="72" t="s">
        <v>23</v>
      </c>
      <c r="I69" s="72" t="s">
        <v>117</v>
      </c>
    </row>
    <row r="70" spans="1:9" ht="12.75" customHeight="1" x14ac:dyDescent="0.2">
      <c r="A70" s="71">
        <v>8</v>
      </c>
      <c r="B70" s="72" t="s">
        <v>116</v>
      </c>
      <c r="C70" s="73">
        <v>8.1565166666666666</v>
      </c>
      <c r="D70" s="74">
        <v>6.4084166666665254</v>
      </c>
      <c r="E70" s="73">
        <v>312</v>
      </c>
      <c r="F70" s="75">
        <v>2.7577574159565938E-3</v>
      </c>
      <c r="G70" s="76">
        <v>5.6207959394396507E-3</v>
      </c>
      <c r="H70" s="72" t="s">
        <v>23</v>
      </c>
      <c r="I70" s="72" t="s">
        <v>117</v>
      </c>
    </row>
    <row r="71" spans="1:9" ht="12.75" customHeight="1" x14ac:dyDescent="0.2">
      <c r="A71" s="71">
        <v>2</v>
      </c>
      <c r="B71" s="72" t="s">
        <v>118</v>
      </c>
      <c r="C71" s="73">
        <v>8.173683333333333</v>
      </c>
      <c r="D71" s="74">
        <v>9.9054499999998153</v>
      </c>
      <c r="E71" s="73">
        <v>504</v>
      </c>
      <c r="F71" s="75">
        <v>4.2626485787005111E-3</v>
      </c>
      <c r="G71" s="76">
        <v>9.0797472867871279E-3</v>
      </c>
      <c r="H71" s="72" t="s">
        <v>119</v>
      </c>
      <c r="I71" s="72" t="s">
        <v>120</v>
      </c>
    </row>
    <row r="72" spans="1:9" ht="12.75" customHeight="1" x14ac:dyDescent="0.2">
      <c r="A72" s="71">
        <v>2</v>
      </c>
      <c r="B72" s="72" t="s">
        <v>121</v>
      </c>
      <c r="C72" s="73">
        <v>8.3682333333333343</v>
      </c>
      <c r="D72" s="74">
        <v>28.650875000001058</v>
      </c>
      <c r="E72" s="73">
        <v>1116</v>
      </c>
      <c r="F72" s="75">
        <v>1.232943597688977E-2</v>
      </c>
      <c r="G72" s="76">
        <v>2.0105154706457212E-2</v>
      </c>
      <c r="H72" s="72" t="s">
        <v>122</v>
      </c>
      <c r="I72" s="72" t="s">
        <v>123</v>
      </c>
    </row>
    <row r="73" spans="1:9" ht="12.75" customHeight="1" x14ac:dyDescent="0.2">
      <c r="A73" s="71">
        <v>10</v>
      </c>
      <c r="B73" s="72" t="s">
        <v>124</v>
      </c>
      <c r="C73" s="73">
        <v>8.4311833333333333</v>
      </c>
      <c r="D73" s="74">
        <v>5.2575999999998597</v>
      </c>
      <c r="E73" s="73">
        <v>271</v>
      </c>
      <c r="F73" s="75">
        <v>2.2625222647507815E-3</v>
      </c>
      <c r="G73" s="76">
        <v>4.8821657038081584E-3</v>
      </c>
      <c r="H73" s="72" t="s">
        <v>23</v>
      </c>
      <c r="I73" s="72" t="s">
        <v>125</v>
      </c>
    </row>
    <row r="74" spans="1:9" ht="12.75" customHeight="1" x14ac:dyDescent="0.2">
      <c r="A74" s="71">
        <v>3</v>
      </c>
      <c r="B74" s="72" t="s">
        <v>126</v>
      </c>
      <c r="C74" s="73">
        <v>8.4655166666666677</v>
      </c>
      <c r="D74" s="74">
        <v>32.118574999999616</v>
      </c>
      <c r="E74" s="73">
        <v>1258</v>
      </c>
      <c r="F74" s="75">
        <v>1.3821704018862008E-2</v>
      </c>
      <c r="G74" s="76">
        <v>2.2663337473766285E-2</v>
      </c>
      <c r="H74" s="72" t="s">
        <v>23</v>
      </c>
      <c r="I74" s="72" t="s">
        <v>127</v>
      </c>
    </row>
    <row r="75" spans="1:9" ht="12.75" customHeight="1" x14ac:dyDescent="0.2">
      <c r="A75" s="71">
        <v>13</v>
      </c>
      <c r="B75" s="72" t="s">
        <v>128</v>
      </c>
      <c r="C75" s="73">
        <v>8.5513333333333339</v>
      </c>
      <c r="D75" s="74">
        <v>115.77995000000122</v>
      </c>
      <c r="E75" s="73">
        <v>4547.4999999999991</v>
      </c>
      <c r="F75" s="75">
        <v>4.9824009944982879E-2</v>
      </c>
      <c r="G75" s="76">
        <v>8.1924902354492971E-2</v>
      </c>
      <c r="H75" s="72" t="s">
        <v>129</v>
      </c>
      <c r="I75" s="72" t="s">
        <v>130</v>
      </c>
    </row>
    <row r="76" spans="1:9" ht="12.75" customHeight="1" x14ac:dyDescent="0.2">
      <c r="A76" s="71">
        <v>5</v>
      </c>
      <c r="B76" s="72" t="s">
        <v>124</v>
      </c>
      <c r="C76" s="73">
        <v>8.631450000000001</v>
      </c>
      <c r="D76" s="74">
        <v>3.436066666666596</v>
      </c>
      <c r="E76" s="73">
        <v>220.49016751638715</v>
      </c>
      <c r="F76" s="75">
        <v>1.4786551537776516E-3</v>
      </c>
      <c r="G76" s="76">
        <v>3.9722123021233248E-3</v>
      </c>
      <c r="H76" s="72" t="s">
        <v>23</v>
      </c>
      <c r="I76" s="72" t="s">
        <v>125</v>
      </c>
    </row>
    <row r="77" spans="1:9" ht="12.75" customHeight="1" x14ac:dyDescent="0.2">
      <c r="A77" s="71">
        <v>14</v>
      </c>
      <c r="B77" s="72" t="s">
        <v>131</v>
      </c>
      <c r="C77" s="73">
        <v>8.6943833333333327</v>
      </c>
      <c r="D77" s="74">
        <v>11.191122661074436</v>
      </c>
      <c r="E77" s="73">
        <v>277.99021321216264</v>
      </c>
      <c r="F77" s="75">
        <v>4.815916803910263E-3</v>
      </c>
      <c r="G77" s="76">
        <v>5.0080969923938668E-3</v>
      </c>
      <c r="H77" s="72" t="s">
        <v>23</v>
      </c>
      <c r="I77" s="72" t="s">
        <v>132</v>
      </c>
    </row>
    <row r="78" spans="1:9" ht="12.75" customHeight="1" x14ac:dyDescent="0.2">
      <c r="A78" s="71">
        <v>11</v>
      </c>
      <c r="B78" s="72" t="s">
        <v>133</v>
      </c>
      <c r="C78" s="73">
        <v>8.7802166666666661</v>
      </c>
      <c r="D78" s="74">
        <v>2.1280916666667773</v>
      </c>
      <c r="E78" s="73">
        <v>193</v>
      </c>
      <c r="F78" s="75">
        <v>9.1578948137254835E-4</v>
      </c>
      <c r="G78" s="76">
        <v>3.4769667189482453E-3</v>
      </c>
      <c r="H78" s="72" t="s">
        <v>23</v>
      </c>
      <c r="I78" s="72" t="s">
        <v>134</v>
      </c>
    </row>
    <row r="79" spans="1:9" ht="12.75" customHeight="1" x14ac:dyDescent="0.2">
      <c r="A79" s="71">
        <v>2</v>
      </c>
      <c r="B79" s="72" t="s">
        <v>135</v>
      </c>
      <c r="C79" s="73">
        <v>8.7916666666666661</v>
      </c>
      <c r="D79" s="74">
        <v>12.876216666666732</v>
      </c>
      <c r="E79" s="73">
        <v>481</v>
      </c>
      <c r="F79" s="75">
        <v>5.5410694792470613E-3</v>
      </c>
      <c r="G79" s="76">
        <v>8.6653937399694611E-3</v>
      </c>
      <c r="H79" s="72" t="s">
        <v>23</v>
      </c>
      <c r="I79" s="72" t="s">
        <v>136</v>
      </c>
    </row>
    <row r="80" spans="1:9" ht="12.75" customHeight="1" x14ac:dyDescent="0.2">
      <c r="A80" s="71">
        <v>7</v>
      </c>
      <c r="B80" s="72" t="s">
        <v>137</v>
      </c>
      <c r="C80" s="73">
        <v>8.9690499999999993</v>
      </c>
      <c r="D80" s="74">
        <v>3.4974000000000292</v>
      </c>
      <c r="E80" s="73">
        <v>235.0064065230041</v>
      </c>
      <c r="F80" s="75">
        <v>1.5050489517535871E-3</v>
      </c>
      <c r="G80" s="76">
        <v>4.2337277420730944E-3</v>
      </c>
      <c r="H80" s="72" t="s">
        <v>23</v>
      </c>
      <c r="I80" s="72" t="s">
        <v>138</v>
      </c>
    </row>
    <row r="81" spans="1:9" ht="12.75" customHeight="1" x14ac:dyDescent="0.2">
      <c r="A81" s="71">
        <v>6</v>
      </c>
      <c r="B81" s="72" t="s">
        <v>139</v>
      </c>
      <c r="C81" s="73">
        <v>9.0033666666666665</v>
      </c>
      <c r="D81" s="74">
        <v>3.2350999999999104</v>
      </c>
      <c r="E81" s="73">
        <v>251.27021121631532</v>
      </c>
      <c r="F81" s="75">
        <v>1.3921724320403309E-3</v>
      </c>
      <c r="G81" s="76">
        <v>4.5267262272654122E-3</v>
      </c>
      <c r="H81" s="72" t="s">
        <v>23</v>
      </c>
      <c r="I81" s="72" t="s">
        <v>140</v>
      </c>
    </row>
    <row r="82" spans="1:9" ht="12.75" customHeight="1" x14ac:dyDescent="0.2">
      <c r="A82" s="71">
        <v>7</v>
      </c>
      <c r="B82" s="72" t="s">
        <v>141</v>
      </c>
      <c r="C82" s="73">
        <v>9.0720333333333336</v>
      </c>
      <c r="D82" s="74">
        <v>14.297133333333385</v>
      </c>
      <c r="E82" s="73">
        <v>311.92906178489693</v>
      </c>
      <c r="F82" s="75">
        <v>6.1525377527347457E-3</v>
      </c>
      <c r="G82" s="76">
        <v>5.6195179611338731E-3</v>
      </c>
      <c r="H82" s="72" t="s">
        <v>23</v>
      </c>
      <c r="I82" s="72" t="s">
        <v>142</v>
      </c>
    </row>
    <row r="83" spans="1:9" ht="12.75" customHeight="1" x14ac:dyDescent="0.2">
      <c r="A83" s="71">
        <v>9</v>
      </c>
      <c r="B83" s="72" t="s">
        <v>143</v>
      </c>
      <c r="C83" s="73">
        <v>9.1635833333333334</v>
      </c>
      <c r="D83" s="74">
        <v>10.590824999999988</v>
      </c>
      <c r="E83" s="73">
        <v>297.22697736948243</v>
      </c>
      <c r="F83" s="75">
        <v>4.557588512739616E-3</v>
      </c>
      <c r="G83" s="76">
        <v>5.3546544470843196E-3</v>
      </c>
      <c r="H83" s="72" t="s">
        <v>23</v>
      </c>
      <c r="I83" s="72" t="s">
        <v>144</v>
      </c>
    </row>
    <row r="84" spans="1:9" ht="12.75" customHeight="1" x14ac:dyDescent="0.2">
      <c r="A84" s="71">
        <v>12</v>
      </c>
      <c r="B84" s="72" t="s">
        <v>145</v>
      </c>
      <c r="C84" s="73">
        <v>9.2837499999999995</v>
      </c>
      <c r="D84" s="74">
        <v>2.7386250000002423</v>
      </c>
      <c r="E84" s="73">
        <v>312.32718446601984</v>
      </c>
      <c r="F84" s="75">
        <v>1.1785225268761074E-3</v>
      </c>
      <c r="G84" s="76">
        <v>5.6266902891769967E-3</v>
      </c>
      <c r="H84" s="72" t="s">
        <v>146</v>
      </c>
      <c r="I84" s="72" t="s">
        <v>147</v>
      </c>
    </row>
    <row r="85" spans="1:9" ht="12.75" customHeight="1" x14ac:dyDescent="0.2">
      <c r="A85" s="71">
        <v>6</v>
      </c>
      <c r="B85" s="72" t="s">
        <v>148</v>
      </c>
      <c r="C85" s="73">
        <v>9.3009166666666676</v>
      </c>
      <c r="D85" s="74">
        <v>1.4423000000001238</v>
      </c>
      <c r="E85" s="73">
        <v>48</v>
      </c>
      <c r="F85" s="75">
        <v>6.2067024164075225E-4</v>
      </c>
      <c r="G85" s="76">
        <v>8.647378368368693E-4</v>
      </c>
      <c r="H85" s="72" t="s">
        <v>149</v>
      </c>
      <c r="I85" s="72" t="s">
        <v>150</v>
      </c>
    </row>
    <row r="86" spans="1:9" ht="12.75" customHeight="1" x14ac:dyDescent="0.2">
      <c r="A86" s="71">
        <v>9</v>
      </c>
      <c r="B86" s="72" t="s">
        <v>145</v>
      </c>
      <c r="C86" s="73">
        <v>9.43825</v>
      </c>
      <c r="D86" s="74">
        <v>13.125274999999888</v>
      </c>
      <c r="E86" s="73">
        <v>297.4119259766963</v>
      </c>
      <c r="F86" s="75">
        <v>5.648247664043927E-3</v>
      </c>
      <c r="G86" s="76">
        <v>5.3579863649703225E-3</v>
      </c>
      <c r="H86" s="72" t="s">
        <v>146</v>
      </c>
      <c r="I86" s="72" t="s">
        <v>147</v>
      </c>
    </row>
    <row r="87" spans="1:9" ht="12.75" customHeight="1" x14ac:dyDescent="0.2">
      <c r="A87" s="71">
        <v>10</v>
      </c>
      <c r="B87" s="72" t="s">
        <v>145</v>
      </c>
      <c r="C87" s="73">
        <v>9.43825</v>
      </c>
      <c r="D87" s="74">
        <v>13.125274999999888</v>
      </c>
      <c r="E87" s="73">
        <v>297.4119259766963</v>
      </c>
      <c r="F87" s="75">
        <v>5.648247664043927E-3</v>
      </c>
      <c r="G87" s="76">
        <v>5.3579863649703225E-3</v>
      </c>
      <c r="H87" s="72" t="s">
        <v>146</v>
      </c>
      <c r="I87" s="72" t="s">
        <v>147</v>
      </c>
    </row>
    <row r="88" spans="1:9" ht="12.75" customHeight="1" x14ac:dyDescent="0.2">
      <c r="A88" s="71">
        <v>18</v>
      </c>
      <c r="B88" s="72" t="s">
        <v>151</v>
      </c>
      <c r="C88" s="73">
        <v>9.5984666666666669</v>
      </c>
      <c r="D88" s="74">
        <v>5.5328999999998771</v>
      </c>
      <c r="E88" s="73">
        <v>325.88639200998847</v>
      </c>
      <c r="F88" s="75">
        <v>2.380993122078449E-3</v>
      </c>
      <c r="G88" s="76">
        <v>5.8709644516935309E-3</v>
      </c>
      <c r="H88" s="72" t="s">
        <v>23</v>
      </c>
      <c r="I88" s="72" t="s">
        <v>152</v>
      </c>
    </row>
    <row r="89" spans="1:9" ht="12.75" customHeight="1" x14ac:dyDescent="0.2">
      <c r="A89" s="71">
        <v>11</v>
      </c>
      <c r="B89" s="72" t="s">
        <v>153</v>
      </c>
      <c r="C89" s="73">
        <v>9.7300666666666675</v>
      </c>
      <c r="D89" s="74">
        <v>1256.9901083333643</v>
      </c>
      <c r="E89" s="73">
        <v>47433.953592233011</v>
      </c>
      <c r="F89" s="75">
        <v>0.54092515723444334</v>
      </c>
      <c r="G89" s="76">
        <v>0.85454030045766705</v>
      </c>
      <c r="H89" s="72" t="s">
        <v>154</v>
      </c>
      <c r="I89" s="72" t="s">
        <v>155</v>
      </c>
    </row>
    <row r="90" spans="1:9" ht="12.75" customHeight="1" x14ac:dyDescent="0.2">
      <c r="A90" s="71">
        <v>7</v>
      </c>
      <c r="B90" s="72" t="s">
        <v>156</v>
      </c>
      <c r="C90" s="73">
        <v>9.8788333333333327</v>
      </c>
      <c r="D90" s="74">
        <v>127.47655000000216</v>
      </c>
      <c r="E90" s="73">
        <v>4843.7430818526236</v>
      </c>
      <c r="F90" s="75">
        <v>5.4857450663540176E-2</v>
      </c>
      <c r="G90" s="76">
        <v>8.726183155822477E-2</v>
      </c>
      <c r="H90" s="72" t="s">
        <v>157</v>
      </c>
      <c r="I90" s="72" t="s">
        <v>158</v>
      </c>
    </row>
    <row r="91" spans="1:9" ht="12.75" customHeight="1" x14ac:dyDescent="0.2">
      <c r="A91" s="71">
        <v>5</v>
      </c>
      <c r="B91" s="72" t="s">
        <v>159</v>
      </c>
      <c r="C91" s="73">
        <v>9.9474999999999998</v>
      </c>
      <c r="D91" s="74">
        <v>10.310658333333095</v>
      </c>
      <c r="E91" s="73">
        <v>361.71599184386378</v>
      </c>
      <c r="F91" s="75">
        <v>4.4370233649202928E-3</v>
      </c>
      <c r="G91" s="76">
        <v>6.5164480070076126E-3</v>
      </c>
      <c r="H91" s="72" t="s">
        <v>23</v>
      </c>
      <c r="I91" s="72" t="s">
        <v>160</v>
      </c>
    </row>
    <row r="92" spans="1:9" ht="12.75" customHeight="1" x14ac:dyDescent="0.2">
      <c r="A92" s="71">
        <v>8</v>
      </c>
      <c r="B92" s="72" t="s">
        <v>161</v>
      </c>
      <c r="C92" s="73">
        <v>9.9474999999999998</v>
      </c>
      <c r="D92" s="74">
        <v>10.310658333333095</v>
      </c>
      <c r="E92" s="73">
        <v>361.71599184386378</v>
      </c>
      <c r="F92" s="75">
        <v>4.4370233649202928E-3</v>
      </c>
      <c r="G92" s="76">
        <v>6.5164480070076126E-3</v>
      </c>
      <c r="H92" s="72" t="s">
        <v>162</v>
      </c>
      <c r="I92" s="72" t="s">
        <v>163</v>
      </c>
    </row>
    <row r="93" spans="1:9" ht="12.75" customHeight="1" x14ac:dyDescent="0.2">
      <c r="A93" s="71">
        <v>4</v>
      </c>
      <c r="B93" s="72" t="s">
        <v>164</v>
      </c>
      <c r="C93" s="73">
        <v>10.021883333333333</v>
      </c>
      <c r="D93" s="74">
        <v>65.382216666665585</v>
      </c>
      <c r="E93" s="73">
        <v>2445</v>
      </c>
      <c r="F93" s="75">
        <v>2.8136168770369452E-2</v>
      </c>
      <c r="G93" s="76">
        <v>4.4047583563878029E-2</v>
      </c>
      <c r="H93" s="72" t="s">
        <v>23</v>
      </c>
      <c r="I93" s="72" t="s">
        <v>165</v>
      </c>
    </row>
    <row r="94" spans="1:9" ht="12.75" customHeight="1" x14ac:dyDescent="0.2">
      <c r="A94" s="71">
        <v>7</v>
      </c>
      <c r="B94" s="72" t="s">
        <v>166</v>
      </c>
      <c r="C94" s="73">
        <v>10.107716666666667</v>
      </c>
      <c r="D94" s="74">
        <v>9.1216666666664992</v>
      </c>
      <c r="E94" s="73">
        <v>346.86724927174396</v>
      </c>
      <c r="F94" s="75">
        <v>3.9253602261428312E-3</v>
      </c>
      <c r="G94" s="76">
        <v>6.2489423917667288E-3</v>
      </c>
      <c r="H94" s="72" t="s">
        <v>23</v>
      </c>
      <c r="I94" s="72" t="s">
        <v>167</v>
      </c>
    </row>
    <row r="95" spans="1:9" ht="12.75" customHeight="1" x14ac:dyDescent="0.2">
      <c r="A95" s="71">
        <v>8</v>
      </c>
      <c r="B95" s="72" t="s">
        <v>168</v>
      </c>
      <c r="C95" s="73">
        <v>10.164933333333334</v>
      </c>
      <c r="D95" s="74">
        <v>9.5557488095235712</v>
      </c>
      <c r="E95" s="73">
        <v>420.46962552011098</v>
      </c>
      <c r="F95" s="75">
        <v>4.1121603845696575E-3</v>
      </c>
      <c r="G95" s="76">
        <v>7.5749165505806107E-3</v>
      </c>
      <c r="H95" s="72" t="s">
        <v>23</v>
      </c>
      <c r="I95" s="72" t="s">
        <v>169</v>
      </c>
    </row>
    <row r="96" spans="1:9" ht="12.75" customHeight="1" x14ac:dyDescent="0.2">
      <c r="A96" s="71">
        <v>7</v>
      </c>
      <c r="B96" s="72" t="s">
        <v>170</v>
      </c>
      <c r="C96" s="73">
        <v>10.245050000000001</v>
      </c>
      <c r="D96" s="74">
        <v>3.5819249999999236</v>
      </c>
      <c r="E96" s="73">
        <v>382.34563106796156</v>
      </c>
      <c r="F96" s="75">
        <v>1.5414229045890683E-3</v>
      </c>
      <c r="G96" s="76">
        <v>6.8880986236195168E-3</v>
      </c>
      <c r="H96" s="72" t="s">
        <v>23</v>
      </c>
      <c r="I96" s="72" t="s">
        <v>171</v>
      </c>
    </row>
    <row r="97" spans="1:9" ht="12.75" customHeight="1" x14ac:dyDescent="0.2">
      <c r="A97" s="71">
        <v>6</v>
      </c>
      <c r="B97" s="72" t="s">
        <v>172</v>
      </c>
      <c r="C97" s="73">
        <v>10.342316666666667</v>
      </c>
      <c r="D97" s="74">
        <v>0.8331833333332419</v>
      </c>
      <c r="E97" s="73">
        <v>233.80011655011651</v>
      </c>
      <c r="F97" s="75">
        <v>3.5854683549257872E-4</v>
      </c>
      <c r="G97" s="76">
        <v>4.2119959799532432E-3</v>
      </c>
      <c r="H97" s="72" t="s">
        <v>23</v>
      </c>
      <c r="I97" s="72" t="s">
        <v>173</v>
      </c>
    </row>
    <row r="98" spans="1:9" ht="12.75" customHeight="1" x14ac:dyDescent="0.2">
      <c r="A98" s="71">
        <v>7</v>
      </c>
      <c r="B98" s="72" t="s">
        <v>170</v>
      </c>
      <c r="C98" s="73">
        <v>10.445316666666667</v>
      </c>
      <c r="D98" s="74">
        <v>3.2908166666666183</v>
      </c>
      <c r="E98" s="73">
        <v>362.21490972626725</v>
      </c>
      <c r="F98" s="75">
        <v>1.4161491892776879E-3</v>
      </c>
      <c r="G98" s="76">
        <v>6.5254361980573794E-3</v>
      </c>
      <c r="H98" s="72" t="s">
        <v>23</v>
      </c>
      <c r="I98" s="72" t="s">
        <v>171</v>
      </c>
    </row>
    <row r="99" spans="1:9" ht="12.75" customHeight="1" x14ac:dyDescent="0.2">
      <c r="A99" s="71">
        <v>4</v>
      </c>
      <c r="B99" s="72" t="s">
        <v>174</v>
      </c>
      <c r="C99" s="73">
        <v>10.531133333333333</v>
      </c>
      <c r="D99" s="74">
        <v>29.404608333333147</v>
      </c>
      <c r="E99" s="73">
        <v>1034</v>
      </c>
      <c r="F99" s="75">
        <v>1.2653792802884279E-2</v>
      </c>
      <c r="G99" s="76">
        <v>1.8627894235194228E-2</v>
      </c>
      <c r="H99" s="72" t="s">
        <v>23</v>
      </c>
      <c r="I99" s="72" t="s">
        <v>175</v>
      </c>
    </row>
    <row r="100" spans="1:9" ht="12.75" customHeight="1" x14ac:dyDescent="0.2">
      <c r="A100" s="71">
        <v>7</v>
      </c>
      <c r="B100" s="72" t="s">
        <v>176</v>
      </c>
      <c r="C100" s="73">
        <v>10.571200000000001</v>
      </c>
      <c r="D100" s="74">
        <v>9.3187249999997945</v>
      </c>
      <c r="E100" s="73">
        <v>447.61034231609165</v>
      </c>
      <c r="F100" s="75">
        <v>4.0101610604819354E-3</v>
      </c>
      <c r="G100" s="76">
        <v>8.0638666491714105E-3</v>
      </c>
      <c r="H100" s="72" t="s">
        <v>23</v>
      </c>
      <c r="I100" s="72" t="s">
        <v>177</v>
      </c>
    </row>
    <row r="101" spans="1:9" ht="12.75" customHeight="1" x14ac:dyDescent="0.2">
      <c r="A101" s="71">
        <v>6</v>
      </c>
      <c r="B101" s="72" t="s">
        <v>178</v>
      </c>
      <c r="C101" s="73">
        <v>10.634133333333333</v>
      </c>
      <c r="D101" s="74">
        <v>2.1801583333334165</v>
      </c>
      <c r="E101" s="73">
        <v>144.21095571095725</v>
      </c>
      <c r="F101" s="75">
        <v>9.3819552074120164E-4</v>
      </c>
      <c r="G101" s="76">
        <v>2.598013956034807E-3</v>
      </c>
      <c r="H101" s="72" t="s">
        <v>179</v>
      </c>
      <c r="I101" s="72" t="s">
        <v>180</v>
      </c>
    </row>
    <row r="102" spans="1:9" ht="12.75" customHeight="1" x14ac:dyDescent="0.2">
      <c r="A102" s="71">
        <v>9</v>
      </c>
      <c r="B102" s="72" t="s">
        <v>181</v>
      </c>
      <c r="C102" s="73">
        <v>10.748583333333334</v>
      </c>
      <c r="D102" s="74">
        <v>995.88656666666623</v>
      </c>
      <c r="E102" s="73">
        <v>39484.178252427191</v>
      </c>
      <c r="F102" s="75">
        <v>0.42856351381801688</v>
      </c>
      <c r="G102" s="76">
        <v>0.7113221435684427</v>
      </c>
      <c r="H102" s="72" t="s">
        <v>182</v>
      </c>
      <c r="I102" s="72" t="s">
        <v>183</v>
      </c>
    </row>
    <row r="103" spans="1:9" ht="12.75" customHeight="1" x14ac:dyDescent="0.2">
      <c r="A103" s="71">
        <v>2</v>
      </c>
      <c r="B103" s="72" t="s">
        <v>184</v>
      </c>
      <c r="C103" s="73">
        <v>10.811516666666668</v>
      </c>
      <c r="D103" s="74">
        <v>47.694158333335622</v>
      </c>
      <c r="E103" s="73">
        <v>1972</v>
      </c>
      <c r="F103" s="75">
        <v>2.0524401842613307E-2</v>
      </c>
      <c r="G103" s="76">
        <v>3.5526312796714712E-2</v>
      </c>
      <c r="H103" s="72" t="s">
        <v>185</v>
      </c>
      <c r="I103" s="72" t="s">
        <v>186</v>
      </c>
    </row>
    <row r="104" spans="1:9" ht="12.75" customHeight="1" x14ac:dyDescent="0.2">
      <c r="A104" s="71">
        <v>9</v>
      </c>
      <c r="B104" s="72" t="s">
        <v>187</v>
      </c>
      <c r="C104" s="73">
        <v>10.914516666666668</v>
      </c>
      <c r="D104" s="74">
        <v>12.216466666666847</v>
      </c>
      <c r="E104" s="73">
        <v>738.63453389830488</v>
      </c>
      <c r="F104" s="75">
        <v>5.257156845313497E-3</v>
      </c>
      <c r="G104" s="76">
        <v>1.3306775605338115E-2</v>
      </c>
      <c r="H104" s="72" t="s">
        <v>23</v>
      </c>
      <c r="I104" s="72" t="s">
        <v>188</v>
      </c>
    </row>
    <row r="105" spans="1:9" ht="12.75" customHeight="1" x14ac:dyDescent="0.2">
      <c r="A105" s="71">
        <v>7</v>
      </c>
      <c r="B105" s="72" t="s">
        <v>189</v>
      </c>
      <c r="C105" s="73">
        <v>10.914516666666668</v>
      </c>
      <c r="D105" s="74">
        <v>12.216466666666847</v>
      </c>
      <c r="E105" s="73">
        <v>738.63453389830488</v>
      </c>
      <c r="F105" s="75">
        <v>5.257156845313497E-3</v>
      </c>
      <c r="G105" s="76">
        <v>1.3306775605338115E-2</v>
      </c>
      <c r="H105" s="72" t="s">
        <v>190</v>
      </c>
      <c r="I105" s="72" t="s">
        <v>191</v>
      </c>
    </row>
    <row r="106" spans="1:9" ht="12.75" customHeight="1" x14ac:dyDescent="0.2">
      <c r="A106" s="71">
        <v>20</v>
      </c>
      <c r="B106" s="72" t="s">
        <v>192</v>
      </c>
      <c r="C106" s="73">
        <v>11.051833333333333</v>
      </c>
      <c r="D106" s="74">
        <v>5344.0505639872017</v>
      </c>
      <c r="E106" s="73">
        <v>200814.19247143174</v>
      </c>
      <c r="F106" s="75">
        <v>2.2997248525896485</v>
      </c>
      <c r="G106" s="76">
        <v>3.6177423000810132</v>
      </c>
      <c r="H106" s="72" t="s">
        <v>193</v>
      </c>
      <c r="I106" s="72" t="s">
        <v>183</v>
      </c>
    </row>
    <row r="107" spans="1:9" ht="12.75" customHeight="1" x14ac:dyDescent="0.2">
      <c r="A107" s="71">
        <v>13</v>
      </c>
      <c r="B107" s="72" t="s">
        <v>194</v>
      </c>
      <c r="C107" s="73">
        <v>11.1205</v>
      </c>
      <c r="D107" s="74">
        <v>80.674186012769212</v>
      </c>
      <c r="E107" s="73">
        <v>2482.3974904772317</v>
      </c>
      <c r="F107" s="75">
        <v>3.4716817948216155E-2</v>
      </c>
      <c r="G107" s="76">
        <v>4.4721313251761548E-2</v>
      </c>
      <c r="H107" s="72" t="s">
        <v>195</v>
      </c>
      <c r="I107" s="72" t="s">
        <v>196</v>
      </c>
    </row>
    <row r="108" spans="1:9" ht="12.75" customHeight="1" x14ac:dyDescent="0.2">
      <c r="A108" s="71">
        <v>3</v>
      </c>
      <c r="B108" s="72" t="s">
        <v>197</v>
      </c>
      <c r="C108" s="73">
        <v>11.172000000000001</v>
      </c>
      <c r="D108" s="74">
        <v>6.2500499999998311</v>
      </c>
      <c r="E108" s="73">
        <v>267.79757281553282</v>
      </c>
      <c r="F108" s="75">
        <v>2.689606908248177E-3</v>
      </c>
      <c r="G108" s="76">
        <v>4.8244727880555798E-3</v>
      </c>
      <c r="H108" s="72" t="s">
        <v>23</v>
      </c>
      <c r="I108" s="72" t="s">
        <v>198</v>
      </c>
    </row>
    <row r="109" spans="1:9" ht="12.75" customHeight="1" x14ac:dyDescent="0.2">
      <c r="A109" s="71">
        <v>4</v>
      </c>
      <c r="B109" s="72" t="s">
        <v>199</v>
      </c>
      <c r="C109" s="73">
        <v>11.206333333333333</v>
      </c>
      <c r="D109" s="74">
        <v>12.542900000000174</v>
      </c>
      <c r="E109" s="73">
        <v>372.6696766676356</v>
      </c>
      <c r="F109" s="75">
        <v>5.3976320972580118E-3</v>
      </c>
      <c r="G109" s="76">
        <v>6.7137827095055565E-3</v>
      </c>
      <c r="H109" s="72" t="s">
        <v>23</v>
      </c>
      <c r="I109" s="72" t="s">
        <v>200</v>
      </c>
    </row>
    <row r="110" spans="1:9" ht="12.75" customHeight="1" x14ac:dyDescent="0.2">
      <c r="A110" s="71">
        <v>4</v>
      </c>
      <c r="B110" s="72" t="s">
        <v>201</v>
      </c>
      <c r="C110" s="73">
        <v>11.297883333333333</v>
      </c>
      <c r="D110" s="74">
        <v>12.417041666666499</v>
      </c>
      <c r="E110" s="73">
        <v>538.00116516166577</v>
      </c>
      <c r="F110" s="75">
        <v>5.3434710196994546E-3</v>
      </c>
      <c r="G110" s="76">
        <v>9.6922909120336284E-3</v>
      </c>
      <c r="H110" s="72" t="s">
        <v>23</v>
      </c>
      <c r="I110" s="72" t="s">
        <v>202</v>
      </c>
    </row>
    <row r="111" spans="1:9" ht="12.75" customHeight="1" x14ac:dyDescent="0.2">
      <c r="A111" s="71">
        <v>6</v>
      </c>
      <c r="B111" s="72" t="s">
        <v>203</v>
      </c>
      <c r="C111" s="73">
        <v>11.337933333333334</v>
      </c>
      <c r="D111" s="74">
        <v>31.248108333333256</v>
      </c>
      <c r="E111" s="73">
        <v>1290</v>
      </c>
      <c r="F111" s="75">
        <v>1.3447112909980373E-2</v>
      </c>
      <c r="G111" s="76">
        <v>2.3239829364990864E-2</v>
      </c>
      <c r="H111" s="72" t="s">
        <v>204</v>
      </c>
      <c r="I111" s="72" t="s">
        <v>205</v>
      </c>
    </row>
    <row r="112" spans="1:9" ht="12.75" customHeight="1" x14ac:dyDescent="0.2">
      <c r="A112" s="71">
        <v>2</v>
      </c>
      <c r="B112" s="72" t="s">
        <v>206</v>
      </c>
      <c r="C112" s="73">
        <v>11.70415</v>
      </c>
      <c r="D112" s="74">
        <v>145.04707499999759</v>
      </c>
      <c r="E112" s="73">
        <v>5117</v>
      </c>
      <c r="F112" s="75">
        <v>6.241863904147895E-2</v>
      </c>
      <c r="G112" s="76">
        <v>9.2184656481130431E-2</v>
      </c>
      <c r="H112" s="72" t="s">
        <v>207</v>
      </c>
      <c r="I112" s="72" t="s">
        <v>208</v>
      </c>
    </row>
    <row r="113" spans="1:9" ht="12.75" customHeight="1" x14ac:dyDescent="0.2">
      <c r="A113" s="71">
        <v>3</v>
      </c>
      <c r="B113" s="72" t="s">
        <v>209</v>
      </c>
      <c r="C113" s="73">
        <v>11.9788</v>
      </c>
      <c r="D113" s="74">
        <v>16209.652768905296</v>
      </c>
      <c r="E113" s="73">
        <v>183384.64265172186</v>
      </c>
      <c r="F113" s="75">
        <v>6.9755592463345177</v>
      </c>
      <c r="G113" s="76">
        <v>3.3037424832448385</v>
      </c>
      <c r="H113" s="72" t="s">
        <v>210</v>
      </c>
      <c r="I113" s="72" t="s">
        <v>211</v>
      </c>
    </row>
    <row r="114" spans="1:9" ht="12.75" customHeight="1" x14ac:dyDescent="0.2">
      <c r="A114" s="71">
        <v>4</v>
      </c>
      <c r="B114" s="72" t="s">
        <v>212</v>
      </c>
      <c r="C114" s="73">
        <v>12.070349999999999</v>
      </c>
      <c r="D114" s="74">
        <v>6.1664083333341111</v>
      </c>
      <c r="E114" s="73">
        <v>695.70485436892204</v>
      </c>
      <c r="F114" s="75">
        <v>2.6536130834817324E-3</v>
      </c>
      <c r="G114" s="76">
        <v>1.2533381475914394E-2</v>
      </c>
      <c r="H114" s="72" t="s">
        <v>213</v>
      </c>
      <c r="I114" s="72" t="s">
        <v>214</v>
      </c>
    </row>
    <row r="115" spans="1:9" ht="12.75" customHeight="1" x14ac:dyDescent="0.2">
      <c r="A115" s="71">
        <v>4</v>
      </c>
      <c r="B115" s="72" t="s">
        <v>215</v>
      </c>
      <c r="C115" s="73">
        <v>12.150466666666667</v>
      </c>
      <c r="D115" s="74">
        <v>56.85670833333397</v>
      </c>
      <c r="E115" s="73">
        <v>2216</v>
      </c>
      <c r="F115" s="75">
        <v>2.4467355543330193E-2</v>
      </c>
      <c r="G115" s="76">
        <v>3.9922063467302135E-2</v>
      </c>
      <c r="H115" s="72" t="s">
        <v>216</v>
      </c>
      <c r="I115" s="72" t="s">
        <v>217</v>
      </c>
    </row>
    <row r="116" spans="1:9" ht="12.75" customHeight="1" x14ac:dyDescent="0.2">
      <c r="A116" s="71">
        <v>4</v>
      </c>
      <c r="B116" s="72" t="s">
        <v>218</v>
      </c>
      <c r="C116" s="73">
        <v>12.179066666666667</v>
      </c>
      <c r="D116" s="74">
        <v>163.49050833333382</v>
      </c>
      <c r="E116" s="73">
        <v>6554.745686757793</v>
      </c>
      <c r="F116" s="75">
        <v>7.0355469259662351E-2</v>
      </c>
      <c r="G116" s="76">
        <v>0.1180861792954736</v>
      </c>
      <c r="H116" s="72" t="s">
        <v>219</v>
      </c>
      <c r="I116" s="72" t="s">
        <v>220</v>
      </c>
    </row>
    <row r="117" spans="1:9" ht="12.75" customHeight="1" x14ac:dyDescent="0.2">
      <c r="A117" s="71">
        <v>5</v>
      </c>
      <c r="B117" s="72" t="s">
        <v>212</v>
      </c>
      <c r="C117" s="73">
        <v>12.270616666666667</v>
      </c>
      <c r="D117" s="74">
        <v>3.2006722222221491</v>
      </c>
      <c r="E117" s="73">
        <v>299.18770226537163</v>
      </c>
      <c r="F117" s="75">
        <v>1.3773570003323126E-3</v>
      </c>
      <c r="G117" s="76">
        <v>5.389977634690641E-3</v>
      </c>
      <c r="H117" s="72" t="s">
        <v>213</v>
      </c>
      <c r="I117" s="72" t="s">
        <v>214</v>
      </c>
    </row>
    <row r="118" spans="1:9" ht="12.75" customHeight="1" x14ac:dyDescent="0.2">
      <c r="A118" s="71">
        <v>5</v>
      </c>
      <c r="B118" s="72" t="s">
        <v>221</v>
      </c>
      <c r="C118" s="73">
        <v>12.379333333333333</v>
      </c>
      <c r="D118" s="74">
        <v>1.9857499999999639</v>
      </c>
      <c r="E118" s="73">
        <v>193.95484340859286</v>
      </c>
      <c r="F118" s="75">
        <v>8.545350706080536E-4</v>
      </c>
      <c r="G118" s="76">
        <v>3.4941685777745901E-3</v>
      </c>
      <c r="H118" s="72" t="s">
        <v>23</v>
      </c>
      <c r="I118" s="72" t="s">
        <v>222</v>
      </c>
    </row>
    <row r="119" spans="1:9" ht="12.75" customHeight="1" x14ac:dyDescent="0.2">
      <c r="A119" s="71">
        <v>5</v>
      </c>
      <c r="B119" s="72" t="s">
        <v>223</v>
      </c>
      <c r="C119" s="73">
        <v>12.379333333333333</v>
      </c>
      <c r="D119" s="74">
        <v>1.9857499999999639</v>
      </c>
      <c r="E119" s="73">
        <v>193.95484340859286</v>
      </c>
      <c r="F119" s="75">
        <v>8.545350706080536E-4</v>
      </c>
      <c r="G119" s="76">
        <v>3.4941685777745901E-3</v>
      </c>
      <c r="H119" s="72" t="s">
        <v>23</v>
      </c>
      <c r="I119" s="72" t="s">
        <v>171</v>
      </c>
    </row>
    <row r="120" spans="1:9" ht="12.75" customHeight="1" x14ac:dyDescent="0.2">
      <c r="A120" s="71">
        <v>9</v>
      </c>
      <c r="B120" s="72" t="s">
        <v>224</v>
      </c>
      <c r="C120" s="73">
        <v>12.470883333333333</v>
      </c>
      <c r="D120" s="74">
        <v>7.248883333333147</v>
      </c>
      <c r="E120" s="73">
        <v>350.58182877111176</v>
      </c>
      <c r="F120" s="75">
        <v>3.1194385149588295E-3</v>
      </c>
      <c r="G120" s="76">
        <v>6.3158619217884354E-3</v>
      </c>
      <c r="H120" s="72" t="s">
        <v>225</v>
      </c>
      <c r="I120" s="72" t="s">
        <v>226</v>
      </c>
    </row>
    <row r="121" spans="1:9" ht="12.75" customHeight="1" x14ac:dyDescent="0.2">
      <c r="A121" s="71">
        <v>7</v>
      </c>
      <c r="B121" s="72" t="s">
        <v>227</v>
      </c>
      <c r="C121" s="73">
        <v>12.533833333333334</v>
      </c>
      <c r="D121" s="74">
        <v>37.044516666665913</v>
      </c>
      <c r="E121" s="73">
        <v>1506</v>
      </c>
      <c r="F121" s="75">
        <v>1.5941502538280822E-2</v>
      </c>
      <c r="G121" s="76">
        <v>2.7131149630756777E-2</v>
      </c>
      <c r="H121" s="72" t="s">
        <v>228</v>
      </c>
      <c r="I121" s="72" t="s">
        <v>196</v>
      </c>
    </row>
    <row r="122" spans="1:9" ht="12.75" customHeight="1" x14ac:dyDescent="0.2">
      <c r="A122" s="71">
        <v>12</v>
      </c>
      <c r="B122" s="72" t="s">
        <v>229</v>
      </c>
      <c r="C122" s="73">
        <v>12.72265</v>
      </c>
      <c r="D122" s="74">
        <v>26.502458333332804</v>
      </c>
      <c r="E122" s="73">
        <v>790.0004854368932</v>
      </c>
      <c r="F122" s="75">
        <v>1.1404899963823217E-2</v>
      </c>
      <c r="G122" s="76">
        <v>1.4232152309932827E-2</v>
      </c>
      <c r="H122" s="72" t="s">
        <v>230</v>
      </c>
      <c r="I122" s="72" t="s">
        <v>231</v>
      </c>
    </row>
    <row r="123" spans="1:9" ht="12.75" customHeight="1" x14ac:dyDescent="0.2">
      <c r="A123" s="71">
        <v>17</v>
      </c>
      <c r="B123" s="72" t="s">
        <v>232</v>
      </c>
      <c r="C123" s="73">
        <v>12.779883333333334</v>
      </c>
      <c r="D123" s="74">
        <v>105.7368999999982</v>
      </c>
      <c r="E123" s="73">
        <v>3667.6642718446597</v>
      </c>
      <c r="F123" s="75">
        <v>4.5502147454300292E-2</v>
      </c>
      <c r="G123" s="76">
        <v>6.6074334764142137E-2</v>
      </c>
      <c r="H123" s="72" t="s">
        <v>233</v>
      </c>
      <c r="I123" s="72" t="s">
        <v>234</v>
      </c>
    </row>
    <row r="124" spans="1:9" ht="12.75" customHeight="1" x14ac:dyDescent="0.2">
      <c r="A124" s="71">
        <v>4</v>
      </c>
      <c r="B124" s="72" t="s">
        <v>235</v>
      </c>
      <c r="C124" s="73">
        <v>12.854266666666668</v>
      </c>
      <c r="D124" s="74">
        <v>3.4479666666666109</v>
      </c>
      <c r="E124" s="73">
        <v>276.2663755458521</v>
      </c>
      <c r="F124" s="75">
        <v>1.4837761243631984E-3</v>
      </c>
      <c r="G124" s="76">
        <v>4.977041416255882E-3</v>
      </c>
      <c r="H124" s="72" t="s">
        <v>236</v>
      </c>
      <c r="I124" s="72" t="s">
        <v>237</v>
      </c>
    </row>
    <row r="125" spans="1:9" ht="12.75" customHeight="1" x14ac:dyDescent="0.2">
      <c r="A125" s="71">
        <v>5</v>
      </c>
      <c r="B125" s="72" t="s">
        <v>238</v>
      </c>
      <c r="C125" s="73">
        <v>12.900033333333333</v>
      </c>
      <c r="D125" s="74">
        <v>5.7397999999998994</v>
      </c>
      <c r="E125" s="73">
        <v>192.03620474407114</v>
      </c>
      <c r="F125" s="75">
        <v>2.4700291568808303E-3</v>
      </c>
      <c r="G125" s="76">
        <v>3.4596035892656297E-3</v>
      </c>
      <c r="H125" s="72" t="s">
        <v>23</v>
      </c>
      <c r="I125" s="72" t="s">
        <v>239</v>
      </c>
    </row>
    <row r="126" spans="1:9" ht="12.75" customHeight="1" x14ac:dyDescent="0.2">
      <c r="A126" s="71">
        <v>9</v>
      </c>
      <c r="B126" s="72" t="s">
        <v>240</v>
      </c>
      <c r="C126" s="73">
        <v>12.945816666666667</v>
      </c>
      <c r="D126" s="74">
        <v>116.15959999999917</v>
      </c>
      <c r="E126" s="73">
        <v>3362</v>
      </c>
      <c r="F126" s="75">
        <v>4.9987386120007228E-2</v>
      </c>
      <c r="G126" s="76">
        <v>6.0567679321782392E-2</v>
      </c>
      <c r="H126" s="72" t="s">
        <v>241</v>
      </c>
      <c r="I126" s="72" t="s">
        <v>242</v>
      </c>
    </row>
    <row r="127" spans="1:9" ht="12.75" customHeight="1" x14ac:dyDescent="0.2">
      <c r="A127" s="71">
        <v>10</v>
      </c>
      <c r="B127" s="72" t="s">
        <v>243</v>
      </c>
      <c r="C127" s="73">
        <v>13.025916666666667</v>
      </c>
      <c r="D127" s="74">
        <v>199.29859873070041</v>
      </c>
      <c r="E127" s="73">
        <v>3195.9771241830067</v>
      </c>
      <c r="F127" s="75">
        <v>8.5764895952878395E-2</v>
      </c>
      <c r="G127" s="76">
        <v>5.757671551971108E-2</v>
      </c>
      <c r="H127" s="72" t="s">
        <v>244</v>
      </c>
      <c r="I127" s="72" t="s">
        <v>245</v>
      </c>
    </row>
    <row r="128" spans="1:9" ht="12.75" customHeight="1" x14ac:dyDescent="0.2">
      <c r="A128" s="71">
        <v>9</v>
      </c>
      <c r="B128" s="72" t="s">
        <v>246</v>
      </c>
      <c r="C128" s="73">
        <v>13.117466666666667</v>
      </c>
      <c r="D128" s="74">
        <v>38.314962568635416</v>
      </c>
      <c r="E128" s="73">
        <v>671.27320208919321</v>
      </c>
      <c r="F128" s="75">
        <v>1.6488218176474573E-2</v>
      </c>
      <c r="G128" s="76">
        <v>1.2093236181274324E-2</v>
      </c>
      <c r="H128" s="72" t="s">
        <v>247</v>
      </c>
      <c r="I128" s="72" t="s">
        <v>248</v>
      </c>
    </row>
    <row r="129" spans="1:9" ht="12.75" customHeight="1" x14ac:dyDescent="0.2">
      <c r="A129" s="71">
        <v>2</v>
      </c>
      <c r="B129" s="72" t="s">
        <v>249</v>
      </c>
      <c r="C129" s="73">
        <v>13.134633333333333</v>
      </c>
      <c r="D129" s="74">
        <v>2.9469583333332743</v>
      </c>
      <c r="E129" s="73">
        <v>112.97503121098543</v>
      </c>
      <c r="F129" s="75">
        <v>1.2681753732614815E-3</v>
      </c>
      <c r="G129" s="76">
        <v>2.035287168874278E-3</v>
      </c>
      <c r="H129" s="72" t="s">
        <v>23</v>
      </c>
      <c r="I129" s="72" t="s">
        <v>250</v>
      </c>
    </row>
    <row r="130" spans="1:9" ht="12.75" customHeight="1" x14ac:dyDescent="0.2">
      <c r="A130" s="71">
        <v>6</v>
      </c>
      <c r="B130" s="72" t="s">
        <v>251</v>
      </c>
      <c r="C130" s="73">
        <v>13.191850000000001</v>
      </c>
      <c r="D130" s="74">
        <v>2.6893166666666115</v>
      </c>
      <c r="E130" s="73">
        <v>191.01019912578846</v>
      </c>
      <c r="F130" s="75">
        <v>1.1573034911934582E-3</v>
      </c>
      <c r="G130" s="76">
        <v>3.4411197167877913E-3</v>
      </c>
      <c r="H130" s="72" t="s">
        <v>23</v>
      </c>
      <c r="I130" s="72" t="s">
        <v>252</v>
      </c>
    </row>
    <row r="131" spans="1:9" ht="12.75" customHeight="1" x14ac:dyDescent="0.2">
      <c r="A131" s="71">
        <v>7</v>
      </c>
      <c r="B131" s="72" t="s">
        <v>253</v>
      </c>
      <c r="C131" s="73">
        <v>13.312016666666667</v>
      </c>
      <c r="D131" s="74">
        <v>56.966249999999398</v>
      </c>
      <c r="E131" s="73">
        <v>1262</v>
      </c>
      <c r="F131" s="75">
        <v>2.4514495009959159E-2</v>
      </c>
      <c r="G131" s="76">
        <v>2.2735398960169358E-2</v>
      </c>
      <c r="H131" s="72" t="s">
        <v>254</v>
      </c>
      <c r="I131" s="72" t="s">
        <v>255</v>
      </c>
    </row>
    <row r="132" spans="1:9" ht="12.75" customHeight="1" x14ac:dyDescent="0.2">
      <c r="A132" s="71">
        <v>6</v>
      </c>
      <c r="B132" s="72" t="s">
        <v>256</v>
      </c>
      <c r="C132" s="73">
        <v>13.483683333333333</v>
      </c>
      <c r="D132" s="74">
        <v>10.306608333333159</v>
      </c>
      <c r="E132" s="73">
        <v>385</v>
      </c>
      <c r="F132" s="75">
        <v>4.4352805135865862E-3</v>
      </c>
      <c r="G132" s="76">
        <v>6.9359180662957225E-3</v>
      </c>
      <c r="H132" s="72" t="s">
        <v>257</v>
      </c>
      <c r="I132" s="72" t="s">
        <v>258</v>
      </c>
    </row>
    <row r="133" spans="1:9" ht="12.75" customHeight="1" x14ac:dyDescent="0.2">
      <c r="A133" s="71">
        <v>5</v>
      </c>
      <c r="B133" s="72" t="s">
        <v>259</v>
      </c>
      <c r="C133" s="73">
        <v>13.5924</v>
      </c>
      <c r="D133" s="74">
        <v>155.7315166666705</v>
      </c>
      <c r="E133" s="73">
        <v>5349.1159842384786</v>
      </c>
      <c r="F133" s="75">
        <v>6.7016513957273052E-2</v>
      </c>
      <c r="G133" s="76">
        <v>9.6366312191664638E-2</v>
      </c>
      <c r="H133" s="72" t="s">
        <v>260</v>
      </c>
      <c r="I133" s="72" t="s">
        <v>261</v>
      </c>
    </row>
    <row r="134" spans="1:9" ht="12.75" customHeight="1" x14ac:dyDescent="0.2">
      <c r="A134" s="71">
        <v>6</v>
      </c>
      <c r="B134" s="72" t="s">
        <v>262</v>
      </c>
      <c r="C134" s="73">
        <v>13.638166666666667</v>
      </c>
      <c r="D134" s="74">
        <v>48.865291666665733</v>
      </c>
      <c r="E134" s="73">
        <v>1876</v>
      </c>
      <c r="F134" s="75">
        <v>2.1028379939397251E-2</v>
      </c>
      <c r="G134" s="76">
        <v>3.3796837123040976E-2</v>
      </c>
      <c r="H134" s="72" t="s">
        <v>263</v>
      </c>
      <c r="I134" s="72" t="s">
        <v>264</v>
      </c>
    </row>
    <row r="135" spans="1:9" ht="12.75" customHeight="1" x14ac:dyDescent="0.2">
      <c r="A135" s="71">
        <v>19</v>
      </c>
      <c r="B135" s="72" t="s">
        <v>265</v>
      </c>
      <c r="C135" s="73">
        <v>13.798383333333334</v>
      </c>
      <c r="D135" s="74">
        <v>261.40735833333133</v>
      </c>
      <c r="E135" s="73">
        <v>7035</v>
      </c>
      <c r="F135" s="75">
        <v>0.11249238595535294</v>
      </c>
      <c r="G135" s="76">
        <v>0.12673813921140367</v>
      </c>
      <c r="H135" s="72" t="s">
        <v>266</v>
      </c>
      <c r="I135" s="72" t="s">
        <v>267</v>
      </c>
    </row>
    <row r="136" spans="1:9" ht="12.75" customHeight="1" x14ac:dyDescent="0.2">
      <c r="A136" s="71">
        <v>6</v>
      </c>
      <c r="B136" s="72" t="s">
        <v>268</v>
      </c>
      <c r="C136" s="73">
        <v>13.844166666666666</v>
      </c>
      <c r="D136" s="74">
        <v>50.681122915718831</v>
      </c>
      <c r="E136" s="73">
        <v>1355.12505688541</v>
      </c>
      <c r="F136" s="75">
        <v>2.1809793251557356E-2</v>
      </c>
      <c r="G136" s="76">
        <v>2.4413081465302685E-2</v>
      </c>
      <c r="H136" s="72" t="s">
        <v>23</v>
      </c>
      <c r="I136" s="72" t="s">
        <v>269</v>
      </c>
    </row>
    <row r="137" spans="1:9" ht="12.75" customHeight="1" x14ac:dyDescent="0.2">
      <c r="A137" s="71">
        <v>11</v>
      </c>
      <c r="B137" s="72" t="s">
        <v>270</v>
      </c>
      <c r="C137" s="73">
        <v>14.1646</v>
      </c>
      <c r="D137" s="74">
        <v>115.79590081990148</v>
      </c>
      <c r="E137" s="73">
        <v>2789.6641206550585</v>
      </c>
      <c r="F137" s="75">
        <v>4.9830874119732825E-2</v>
      </c>
      <c r="G137" s="76">
        <v>5.025683577493089E-2</v>
      </c>
      <c r="H137" s="72" t="s">
        <v>271</v>
      </c>
      <c r="I137" s="72" t="s">
        <v>242</v>
      </c>
    </row>
    <row r="138" spans="1:9" ht="12.75" customHeight="1" x14ac:dyDescent="0.2">
      <c r="A138" s="71">
        <v>8</v>
      </c>
      <c r="B138" s="72" t="s">
        <v>272</v>
      </c>
      <c r="C138" s="73">
        <v>14.250416666666666</v>
      </c>
      <c r="D138" s="74">
        <v>3.7142416666666112</v>
      </c>
      <c r="E138" s="73">
        <v>306</v>
      </c>
      <c r="F138" s="75">
        <v>1.5983632203854384E-3</v>
      </c>
      <c r="G138" s="76">
        <v>5.5127037098350422E-3</v>
      </c>
      <c r="H138" s="72" t="s">
        <v>23</v>
      </c>
      <c r="I138" s="72" t="s">
        <v>273</v>
      </c>
    </row>
    <row r="139" spans="1:9" ht="12.75" customHeight="1" x14ac:dyDescent="0.2">
      <c r="A139" s="71">
        <v>7</v>
      </c>
      <c r="B139" s="72" t="s">
        <v>272</v>
      </c>
      <c r="C139" s="73">
        <v>14.382033333333334</v>
      </c>
      <c r="D139" s="74">
        <v>7.4225583333335061</v>
      </c>
      <c r="E139" s="73">
        <v>231</v>
      </c>
      <c r="F139" s="75">
        <v>3.1941767138197958E-3</v>
      </c>
      <c r="G139" s="76">
        <v>4.1615508397774333E-3</v>
      </c>
      <c r="H139" s="72" t="s">
        <v>23</v>
      </c>
      <c r="I139" s="72" t="s">
        <v>273</v>
      </c>
    </row>
    <row r="140" spans="1:9" ht="12.75" customHeight="1" x14ac:dyDescent="0.2">
      <c r="A140" s="71">
        <v>19</v>
      </c>
      <c r="B140" s="72" t="s">
        <v>274</v>
      </c>
      <c r="C140" s="73">
        <v>14.502183333333333</v>
      </c>
      <c r="D140" s="74">
        <v>705.7744416666651</v>
      </c>
      <c r="E140" s="73">
        <v>26754.229514563111</v>
      </c>
      <c r="F140" s="75">
        <v>0.30371850048747029</v>
      </c>
      <c r="G140" s="76">
        <v>0.48198738659709228</v>
      </c>
      <c r="H140" s="72" t="s">
        <v>275</v>
      </c>
      <c r="I140" s="72" t="s">
        <v>231</v>
      </c>
    </row>
    <row r="141" spans="1:9" ht="12.75" customHeight="1" x14ac:dyDescent="0.2">
      <c r="A141" s="71">
        <v>2</v>
      </c>
      <c r="B141" s="72" t="s">
        <v>276</v>
      </c>
      <c r="C141" s="73">
        <v>14.788283333333334</v>
      </c>
      <c r="D141" s="74">
        <v>56.353208333334024</v>
      </c>
      <c r="E141" s="73">
        <v>2766</v>
      </c>
      <c r="F141" s="75">
        <v>2.425068254418573E-2</v>
      </c>
      <c r="G141" s="76">
        <v>4.9830517847724597E-2</v>
      </c>
      <c r="H141" s="72" t="s">
        <v>23</v>
      </c>
      <c r="I141" s="72" t="s">
        <v>277</v>
      </c>
    </row>
    <row r="142" spans="1:9" ht="12.75" customHeight="1" x14ac:dyDescent="0.2">
      <c r="A142" s="71">
        <v>4</v>
      </c>
      <c r="B142" s="72" t="s">
        <v>278</v>
      </c>
      <c r="C142" s="73">
        <v>14.897</v>
      </c>
      <c r="D142" s="74">
        <v>7.1261166666665918</v>
      </c>
      <c r="E142" s="73">
        <v>456</v>
      </c>
      <c r="F142" s="75">
        <v>3.0666078856408279E-3</v>
      </c>
      <c r="G142" s="76">
        <v>8.2150094499502582E-3</v>
      </c>
      <c r="H142" s="72" t="s">
        <v>23</v>
      </c>
      <c r="I142" s="72" t="s">
        <v>279</v>
      </c>
    </row>
    <row r="143" spans="1:9" ht="12.75" customHeight="1" x14ac:dyDescent="0.2">
      <c r="A143" s="71">
        <v>2</v>
      </c>
      <c r="B143" s="72" t="s">
        <v>280</v>
      </c>
      <c r="C143" s="73">
        <v>14.931333333333333</v>
      </c>
      <c r="D143" s="74">
        <v>16.038091666666787</v>
      </c>
      <c r="E143" s="73">
        <v>730</v>
      </c>
      <c r="F143" s="75">
        <v>6.9017307288398774E-3</v>
      </c>
      <c r="G143" s="76">
        <v>1.3151221268560722E-2</v>
      </c>
      <c r="H143" s="72" t="s">
        <v>281</v>
      </c>
      <c r="I143" s="72" t="s">
        <v>282</v>
      </c>
    </row>
    <row r="144" spans="1:9" ht="12.75" customHeight="1" x14ac:dyDescent="0.2">
      <c r="A144" s="71">
        <v>5</v>
      </c>
      <c r="B144" s="72" t="s">
        <v>283</v>
      </c>
      <c r="C144" s="73">
        <v>15.320433333333334</v>
      </c>
      <c r="D144" s="74">
        <v>1.0408999999999615</v>
      </c>
      <c r="E144" s="73">
        <v>186.69611650485535</v>
      </c>
      <c r="F144" s="75">
        <v>4.4793430945280429E-4</v>
      </c>
      <c r="G144" s="76">
        <v>3.3633999152552657E-3</v>
      </c>
      <c r="H144" s="72" t="s">
        <v>23</v>
      </c>
      <c r="I144" s="72" t="s">
        <v>284</v>
      </c>
    </row>
    <row r="145" spans="1:9" ht="12.75" customHeight="1" x14ac:dyDescent="0.2">
      <c r="A145" s="71">
        <v>2</v>
      </c>
      <c r="B145" s="72" t="s">
        <v>285</v>
      </c>
      <c r="C145" s="73">
        <v>15.589366666666667</v>
      </c>
      <c r="D145" s="74">
        <v>26.634216666666092</v>
      </c>
      <c r="E145" s="73">
        <v>1240</v>
      </c>
      <c r="F145" s="75">
        <v>1.1461600009991248E-2</v>
      </c>
      <c r="G145" s="76">
        <v>2.2339060784952458E-2</v>
      </c>
      <c r="H145" s="72" t="s">
        <v>286</v>
      </c>
      <c r="I145" s="72" t="s">
        <v>287</v>
      </c>
    </row>
    <row r="146" spans="1:9" ht="12.75" customHeight="1" x14ac:dyDescent="0.2">
      <c r="A146" s="71">
        <v>12</v>
      </c>
      <c r="B146" s="72" t="s">
        <v>288</v>
      </c>
      <c r="C146" s="73">
        <v>15.772466666666666</v>
      </c>
      <c r="D146" s="74">
        <v>4119.8789166666966</v>
      </c>
      <c r="E146" s="73">
        <v>151764.48621359232</v>
      </c>
      <c r="F146" s="75">
        <v>1.7729225838854188</v>
      </c>
      <c r="G146" s="76">
        <v>2.7340936149375143</v>
      </c>
      <c r="H146" s="72" t="s">
        <v>289</v>
      </c>
      <c r="I146" s="72" t="s">
        <v>290</v>
      </c>
    </row>
    <row r="147" spans="1:9" ht="12.75" customHeight="1" x14ac:dyDescent="0.2">
      <c r="A147" s="71">
        <v>9</v>
      </c>
      <c r="B147" s="72" t="s">
        <v>291</v>
      </c>
      <c r="C147" s="73">
        <v>16.012783333333335</v>
      </c>
      <c r="D147" s="74">
        <v>232.47414166667284</v>
      </c>
      <c r="E147" s="73">
        <v>8113.4731476424558</v>
      </c>
      <c r="F147" s="75">
        <v>0.10004144885493164</v>
      </c>
      <c r="G147" s="76">
        <v>0.14616723372763255</v>
      </c>
      <c r="H147" s="72" t="s">
        <v>292</v>
      </c>
      <c r="I147" s="72" t="s">
        <v>293</v>
      </c>
    </row>
    <row r="148" spans="1:9" ht="12.75" customHeight="1" x14ac:dyDescent="0.2">
      <c r="A148" s="71">
        <v>6</v>
      </c>
      <c r="B148" s="72" t="s">
        <v>283</v>
      </c>
      <c r="C148" s="73">
        <v>16.070016666666668</v>
      </c>
      <c r="D148" s="74">
        <v>5.5108750000001336</v>
      </c>
      <c r="E148" s="73">
        <v>233.95338674435391</v>
      </c>
      <c r="F148" s="75">
        <v>2.371515023158684E-3</v>
      </c>
      <c r="G148" s="76">
        <v>4.2147571994577519E-3</v>
      </c>
      <c r="H148" s="72" t="s">
        <v>23</v>
      </c>
      <c r="I148" s="72" t="s">
        <v>284</v>
      </c>
    </row>
    <row r="149" spans="1:9" ht="12.75" customHeight="1" x14ac:dyDescent="0.2">
      <c r="A149" s="71">
        <v>5</v>
      </c>
      <c r="B149" s="72" t="s">
        <v>294</v>
      </c>
      <c r="C149" s="73">
        <v>16.201616666666666</v>
      </c>
      <c r="D149" s="74">
        <v>9.6873166666664634</v>
      </c>
      <c r="E149" s="73">
        <v>358</v>
      </c>
      <c r="F149" s="75">
        <v>4.1687784624210248E-3</v>
      </c>
      <c r="G149" s="76">
        <v>6.4495030330749843E-3</v>
      </c>
      <c r="H149" s="72" t="s">
        <v>295</v>
      </c>
      <c r="I149" s="72" t="s">
        <v>296</v>
      </c>
    </row>
    <row r="150" spans="1:9" ht="12.75" customHeight="1" x14ac:dyDescent="0.2">
      <c r="A150" s="71">
        <v>11</v>
      </c>
      <c r="B150" s="72" t="s">
        <v>297</v>
      </c>
      <c r="C150" s="73">
        <v>16.276</v>
      </c>
      <c r="D150" s="74">
        <v>91.597349999998443</v>
      </c>
      <c r="E150" s="73">
        <v>4124.9766967666756</v>
      </c>
      <c r="F150" s="75">
        <v>3.9417423114571665E-2</v>
      </c>
      <c r="G150" s="76">
        <v>7.4312988036760619E-2</v>
      </c>
      <c r="H150" s="72" t="s">
        <v>298</v>
      </c>
      <c r="I150" s="72" t="s">
        <v>299</v>
      </c>
    </row>
    <row r="151" spans="1:9" ht="12.75" customHeight="1" x14ac:dyDescent="0.2">
      <c r="A151" s="71">
        <v>8</v>
      </c>
      <c r="B151" s="72" t="s">
        <v>283</v>
      </c>
      <c r="C151" s="73">
        <v>16.333216666666669</v>
      </c>
      <c r="D151" s="74">
        <v>0.61884999999989887</v>
      </c>
      <c r="E151" s="73">
        <v>363.88638018938673</v>
      </c>
      <c r="F151" s="75">
        <v>2.6631198713116813E-4</v>
      </c>
      <c r="G151" s="76">
        <v>6.5555483595701848E-3</v>
      </c>
      <c r="H151" s="72" t="s">
        <v>23</v>
      </c>
      <c r="I151" s="72" t="s">
        <v>284</v>
      </c>
    </row>
    <row r="152" spans="1:9" ht="12.75" customHeight="1" x14ac:dyDescent="0.2">
      <c r="A152" s="71">
        <v>7</v>
      </c>
      <c r="B152" s="72" t="s">
        <v>283</v>
      </c>
      <c r="C152" s="73">
        <v>16.390433333333334</v>
      </c>
      <c r="D152" s="74">
        <v>1.2204083333332889</v>
      </c>
      <c r="E152" s="73">
        <v>195.97013838310181</v>
      </c>
      <c r="F152" s="75">
        <v>5.2518278801240729E-4</v>
      </c>
      <c r="G152" s="76">
        <v>3.5304748656255292E-3</v>
      </c>
      <c r="H152" s="72" t="s">
        <v>23</v>
      </c>
      <c r="I152" s="72" t="s">
        <v>284</v>
      </c>
    </row>
    <row r="153" spans="1:9" ht="12.75" customHeight="1" x14ac:dyDescent="0.2">
      <c r="A153" s="71">
        <v>10</v>
      </c>
      <c r="B153" s="72" t="s">
        <v>300</v>
      </c>
      <c r="C153" s="73">
        <v>16.659366666666667</v>
      </c>
      <c r="D153" s="74">
        <v>229.7900653013516</v>
      </c>
      <c r="E153" s="73">
        <v>7836.1260852517817</v>
      </c>
      <c r="F153" s="75">
        <v>9.8886400441809533E-2</v>
      </c>
      <c r="G153" s="76">
        <v>0.14117072333628314</v>
      </c>
      <c r="H153" s="72" t="s">
        <v>301</v>
      </c>
      <c r="I153" s="72" t="s">
        <v>302</v>
      </c>
    </row>
    <row r="154" spans="1:9" ht="12.75" customHeight="1" x14ac:dyDescent="0.2">
      <c r="A154" s="71">
        <v>7</v>
      </c>
      <c r="B154" s="72" t="s">
        <v>283</v>
      </c>
      <c r="C154" s="73">
        <v>16.710866666666668</v>
      </c>
      <c r="D154" s="74">
        <v>20.991241666666923</v>
      </c>
      <c r="E154" s="73">
        <v>731.35424940428948</v>
      </c>
      <c r="F154" s="75">
        <v>9.0332379099968586E-3</v>
      </c>
      <c r="G154" s="76">
        <v>1.3175618574819114E-2</v>
      </c>
      <c r="H154" s="72" t="s">
        <v>23</v>
      </c>
      <c r="I154" s="72" t="s">
        <v>284</v>
      </c>
    </row>
    <row r="155" spans="1:9" ht="12.75" customHeight="1" x14ac:dyDescent="0.2">
      <c r="A155" s="71">
        <v>11</v>
      </c>
      <c r="B155" s="72" t="s">
        <v>303</v>
      </c>
      <c r="C155" s="73">
        <v>16.710866666666668</v>
      </c>
      <c r="D155" s="74">
        <v>20.991241666666923</v>
      </c>
      <c r="E155" s="73">
        <v>731.35424940428948</v>
      </c>
      <c r="F155" s="75">
        <v>9.0332379099968586E-3</v>
      </c>
      <c r="G155" s="76">
        <v>1.3175618574819114E-2</v>
      </c>
      <c r="H155" s="72" t="s">
        <v>23</v>
      </c>
      <c r="I155" s="72" t="s">
        <v>304</v>
      </c>
    </row>
    <row r="156" spans="1:9" ht="12.75" customHeight="1" x14ac:dyDescent="0.2">
      <c r="A156" s="71">
        <v>4</v>
      </c>
      <c r="B156" s="72" t="s">
        <v>305</v>
      </c>
      <c r="C156" s="73">
        <v>16.796700000000001</v>
      </c>
      <c r="D156" s="74">
        <v>10.985066666666349</v>
      </c>
      <c r="E156" s="73">
        <v>653.67330097087392</v>
      </c>
      <c r="F156" s="75">
        <v>4.7272439731255566E-3</v>
      </c>
      <c r="G156" s="76">
        <v>1.1776167422491027E-2</v>
      </c>
      <c r="H156" s="72" t="s">
        <v>23</v>
      </c>
      <c r="I156" s="72" t="s">
        <v>306</v>
      </c>
    </row>
    <row r="157" spans="1:9" ht="12.75" customHeight="1" x14ac:dyDescent="0.2">
      <c r="A157" s="71">
        <v>10</v>
      </c>
      <c r="B157" s="72" t="s">
        <v>307</v>
      </c>
      <c r="C157" s="73">
        <v>16.842483333333334</v>
      </c>
      <c r="D157" s="74">
        <v>37.423341666666957</v>
      </c>
      <c r="E157" s="73">
        <v>1882</v>
      </c>
      <c r="F157" s="75">
        <v>1.6104523688034819E-2</v>
      </c>
      <c r="G157" s="76">
        <v>3.3904929352645587E-2</v>
      </c>
      <c r="H157" s="72" t="s">
        <v>308</v>
      </c>
      <c r="I157" s="72" t="s">
        <v>309</v>
      </c>
    </row>
    <row r="158" spans="1:9" ht="12.75" customHeight="1" x14ac:dyDescent="0.2">
      <c r="A158" s="71">
        <v>8</v>
      </c>
      <c r="B158" s="72" t="s">
        <v>303</v>
      </c>
      <c r="C158" s="73">
        <v>16.911133333333332</v>
      </c>
      <c r="D158" s="74">
        <v>13.34895833333303</v>
      </c>
      <c r="E158" s="73">
        <v>693.86724927174828</v>
      </c>
      <c r="F158" s="75">
        <v>5.7445061321510322E-3</v>
      </c>
      <c r="G158" s="76">
        <v>1.2500276337233341E-2</v>
      </c>
      <c r="H158" s="72" t="s">
        <v>23</v>
      </c>
      <c r="I158" s="72" t="s">
        <v>304</v>
      </c>
    </row>
    <row r="159" spans="1:9" ht="12.75" customHeight="1" x14ac:dyDescent="0.2">
      <c r="A159" s="71">
        <v>5</v>
      </c>
      <c r="B159" s="72" t="s">
        <v>305</v>
      </c>
      <c r="C159" s="73">
        <v>16.911133333333332</v>
      </c>
      <c r="D159" s="74">
        <v>13.34895833333303</v>
      </c>
      <c r="E159" s="73">
        <v>693.86724927174828</v>
      </c>
      <c r="F159" s="75">
        <v>5.7445061321510322E-3</v>
      </c>
      <c r="G159" s="76">
        <v>1.2500276337233341E-2</v>
      </c>
      <c r="H159" s="72" t="s">
        <v>23</v>
      </c>
      <c r="I159" s="72" t="s">
        <v>306</v>
      </c>
    </row>
    <row r="160" spans="1:9" ht="12.75" customHeight="1" x14ac:dyDescent="0.2">
      <c r="A160" s="71">
        <v>13</v>
      </c>
      <c r="B160" s="72" t="s">
        <v>303</v>
      </c>
      <c r="C160" s="73">
        <v>17.019850000000002</v>
      </c>
      <c r="D160" s="74">
        <v>20.179475000000238</v>
      </c>
      <c r="E160" s="73">
        <v>920.41198501872714</v>
      </c>
      <c r="F160" s="75">
        <v>8.6839073871126625E-3</v>
      </c>
      <c r="G160" s="76">
        <v>1.658156393591298E-2</v>
      </c>
      <c r="H160" s="72" t="s">
        <v>23</v>
      </c>
      <c r="I160" s="72" t="s">
        <v>304</v>
      </c>
    </row>
    <row r="161" spans="1:9" ht="12.75" customHeight="1" x14ac:dyDescent="0.2">
      <c r="A161" s="71">
        <v>8</v>
      </c>
      <c r="B161" s="72" t="s">
        <v>305</v>
      </c>
      <c r="C161" s="73">
        <v>17.214400000000001</v>
      </c>
      <c r="D161" s="74">
        <v>16.129510868358537</v>
      </c>
      <c r="E161" s="73">
        <v>667.56471077819606</v>
      </c>
      <c r="F161" s="75">
        <v>6.9410714887404648E-3</v>
      </c>
      <c r="G161" s="76">
        <v>1.2026426332228491E-2</v>
      </c>
      <c r="H161" s="72" t="s">
        <v>23</v>
      </c>
      <c r="I161" s="72" t="s">
        <v>306</v>
      </c>
    </row>
    <row r="162" spans="1:9" ht="12.75" customHeight="1" x14ac:dyDescent="0.2">
      <c r="A162" s="71">
        <v>8</v>
      </c>
      <c r="B162" s="72" t="s">
        <v>305</v>
      </c>
      <c r="C162" s="73">
        <v>17.283066666666667</v>
      </c>
      <c r="D162" s="74">
        <v>21.530999999999182</v>
      </c>
      <c r="E162" s="73">
        <v>693.77891057384159</v>
      </c>
      <c r="F162" s="75">
        <v>9.2655140905258133E-3</v>
      </c>
      <c r="G162" s="76">
        <v>1.2498684882763825E-2</v>
      </c>
      <c r="H162" s="72" t="s">
        <v>23</v>
      </c>
      <c r="I162" s="72" t="s">
        <v>306</v>
      </c>
    </row>
    <row r="163" spans="1:9" ht="12.75" customHeight="1" x14ac:dyDescent="0.2">
      <c r="A163" s="71">
        <v>8</v>
      </c>
      <c r="B163" s="72" t="s">
        <v>283</v>
      </c>
      <c r="C163" s="73">
        <v>17.283066666666667</v>
      </c>
      <c r="D163" s="74">
        <v>21.530999999999182</v>
      </c>
      <c r="E163" s="73">
        <v>693.77891057384159</v>
      </c>
      <c r="F163" s="75">
        <v>9.2655140905258133E-3</v>
      </c>
      <c r="G163" s="76">
        <v>1.2498684882763825E-2</v>
      </c>
      <c r="H163" s="72" t="s">
        <v>23</v>
      </c>
      <c r="I163" s="72" t="s">
        <v>284</v>
      </c>
    </row>
    <row r="164" spans="1:9" ht="12.75" customHeight="1" x14ac:dyDescent="0.2">
      <c r="A164" s="71">
        <v>8</v>
      </c>
      <c r="B164" s="72" t="s">
        <v>305</v>
      </c>
      <c r="C164" s="73">
        <v>17.391783333333333</v>
      </c>
      <c r="D164" s="74">
        <v>8.9778583333336428</v>
      </c>
      <c r="E164" s="73">
        <v>606.52566436114375</v>
      </c>
      <c r="F164" s="75">
        <v>3.8634746593400504E-3</v>
      </c>
      <c r="G164" s="76">
        <v>1.092678522886876E-2</v>
      </c>
      <c r="H164" s="72" t="s">
        <v>23</v>
      </c>
      <c r="I164" s="72" t="s">
        <v>306</v>
      </c>
    </row>
    <row r="165" spans="1:9" ht="12.75" customHeight="1" x14ac:dyDescent="0.2">
      <c r="A165" s="71">
        <v>23</v>
      </c>
      <c r="B165" s="72" t="s">
        <v>310</v>
      </c>
      <c r="C165" s="73">
        <v>17.443283333333333</v>
      </c>
      <c r="D165" s="74">
        <v>419.91971666668906</v>
      </c>
      <c r="E165" s="73">
        <v>17408.28167256085</v>
      </c>
      <c r="F165" s="75">
        <v>0.18070558969230238</v>
      </c>
      <c r="G165" s="76">
        <v>0.31361666326202475</v>
      </c>
      <c r="H165" s="72" t="s">
        <v>23</v>
      </c>
      <c r="I165" s="72" t="s">
        <v>311</v>
      </c>
    </row>
    <row r="166" spans="1:9" ht="12.75" customHeight="1" x14ac:dyDescent="0.2">
      <c r="A166" s="71">
        <v>15</v>
      </c>
      <c r="B166" s="72" t="s">
        <v>305</v>
      </c>
      <c r="C166" s="73">
        <v>17.517666666666667</v>
      </c>
      <c r="D166" s="74">
        <v>6.2935833333342828</v>
      </c>
      <c r="E166" s="73">
        <v>495.83236272879003</v>
      </c>
      <c r="F166" s="75">
        <v>2.7083407670293732E-3</v>
      </c>
      <c r="G166" s="76">
        <v>8.9326042662459977E-3</v>
      </c>
      <c r="H166" s="72" t="s">
        <v>23</v>
      </c>
      <c r="I166" s="72" t="s">
        <v>306</v>
      </c>
    </row>
    <row r="167" spans="1:9" ht="12.75" customHeight="1" x14ac:dyDescent="0.2">
      <c r="A167" s="71">
        <v>7</v>
      </c>
      <c r="B167" s="72" t="s">
        <v>305</v>
      </c>
      <c r="C167" s="73">
        <v>17.637833333333333</v>
      </c>
      <c r="D167" s="74">
        <v>16.501186111110883</v>
      </c>
      <c r="E167" s="73">
        <v>1012.5320388349523</v>
      </c>
      <c r="F167" s="75">
        <v>7.1010158572705658E-3</v>
      </c>
      <c r="G167" s="76">
        <v>1.8241140937295036E-2</v>
      </c>
      <c r="H167" s="72" t="s">
        <v>23</v>
      </c>
      <c r="I167" s="72" t="s">
        <v>306</v>
      </c>
    </row>
    <row r="168" spans="1:9" ht="12.75" customHeight="1" x14ac:dyDescent="0.2">
      <c r="A168" s="71">
        <v>9</v>
      </c>
      <c r="B168" s="72" t="s">
        <v>305</v>
      </c>
      <c r="C168" s="73">
        <v>17.637833333333333</v>
      </c>
      <c r="D168" s="74">
        <v>16.501186111110883</v>
      </c>
      <c r="E168" s="73">
        <v>1012.5320388349523</v>
      </c>
      <c r="F168" s="75">
        <v>7.1010158572705658E-3</v>
      </c>
      <c r="G168" s="76">
        <v>1.8241140937295036E-2</v>
      </c>
      <c r="H168" s="72" t="s">
        <v>23</v>
      </c>
      <c r="I168" s="72" t="s">
        <v>306</v>
      </c>
    </row>
    <row r="169" spans="1:9" ht="12.75" customHeight="1" x14ac:dyDescent="0.2">
      <c r="A169" s="71">
        <v>6</v>
      </c>
      <c r="B169" s="72" t="s">
        <v>305</v>
      </c>
      <c r="C169" s="73">
        <v>17.683600000000002</v>
      </c>
      <c r="D169" s="74">
        <v>21.21598888888974</v>
      </c>
      <c r="E169" s="73">
        <v>815.80129449837614</v>
      </c>
      <c r="F169" s="75">
        <v>9.1299542053065105E-3</v>
      </c>
      <c r="G169" s="76">
        <v>1.4696963472775907E-2</v>
      </c>
      <c r="H169" s="72" t="s">
        <v>23</v>
      </c>
      <c r="I169" s="72" t="s">
        <v>306</v>
      </c>
    </row>
    <row r="170" spans="1:9" ht="12.75" customHeight="1" x14ac:dyDescent="0.2">
      <c r="A170" s="71" t="s">
        <v>48</v>
      </c>
      <c r="B170" s="72" t="s">
        <v>305</v>
      </c>
      <c r="C170" s="73" t="s">
        <v>48</v>
      </c>
      <c r="D170" s="74" t="s">
        <v>48</v>
      </c>
      <c r="E170" s="73" t="s">
        <v>48</v>
      </c>
      <c r="F170" s="75" t="s">
        <v>48</v>
      </c>
      <c r="G170" s="76" t="s">
        <v>48</v>
      </c>
      <c r="H170" s="72" t="s">
        <v>23</v>
      </c>
      <c r="I170" s="72" t="s">
        <v>306</v>
      </c>
    </row>
    <row r="171" spans="1:9" ht="12.75" customHeight="1" x14ac:dyDescent="0.2">
      <c r="A171" s="71">
        <v>12</v>
      </c>
      <c r="B171" s="72" t="s">
        <v>305</v>
      </c>
      <c r="C171" s="73">
        <v>17.792316666666668</v>
      </c>
      <c r="D171" s="74">
        <v>0.37068333333328951</v>
      </c>
      <c r="E171" s="73">
        <v>104.89743589742829</v>
      </c>
      <c r="F171" s="75">
        <v>1.5951751651678054E-4</v>
      </c>
      <c r="G171" s="76">
        <v>1.8897662876599232E-3</v>
      </c>
      <c r="H171" s="72" t="s">
        <v>23</v>
      </c>
      <c r="I171" s="72" t="s">
        <v>306</v>
      </c>
    </row>
    <row r="172" spans="1:9" ht="12.75" customHeight="1" x14ac:dyDescent="0.2">
      <c r="A172" s="71">
        <v>2</v>
      </c>
      <c r="B172" s="72" t="s">
        <v>305</v>
      </c>
      <c r="C172" s="73">
        <v>17.923933333333334</v>
      </c>
      <c r="D172" s="74">
        <v>11.454158333333382</v>
      </c>
      <c r="E172" s="73">
        <v>1091.9597087378625</v>
      </c>
      <c r="F172" s="75">
        <v>4.9291099081611705E-3</v>
      </c>
      <c r="G172" s="76">
        <v>1.9672059925979108E-2</v>
      </c>
      <c r="H172" s="72" t="s">
        <v>23</v>
      </c>
      <c r="I172" s="72" t="s">
        <v>306</v>
      </c>
    </row>
    <row r="173" spans="1:9" ht="12.75" customHeight="1" x14ac:dyDescent="0.2">
      <c r="A173" s="71">
        <v>14</v>
      </c>
      <c r="B173" s="72" t="s">
        <v>305</v>
      </c>
      <c r="C173" s="73">
        <v>17.923933333333334</v>
      </c>
      <c r="D173" s="74">
        <v>11.454158333333382</v>
      </c>
      <c r="E173" s="73">
        <v>1091.9597087378625</v>
      </c>
      <c r="F173" s="75">
        <v>4.9291099081611705E-3</v>
      </c>
      <c r="G173" s="76">
        <v>1.9672059925979108E-2</v>
      </c>
      <c r="H173" s="72" t="s">
        <v>23</v>
      </c>
      <c r="I173" s="72" t="s">
        <v>306</v>
      </c>
    </row>
    <row r="174" spans="1:9" ht="12.75" customHeight="1" x14ac:dyDescent="0.2">
      <c r="A174" s="71">
        <v>9</v>
      </c>
      <c r="B174" s="72" t="s">
        <v>305</v>
      </c>
      <c r="C174" s="73">
        <v>17.963983333333335</v>
      </c>
      <c r="D174" s="74">
        <v>34.374216666667337</v>
      </c>
      <c r="E174" s="73">
        <v>1212.4999999999873</v>
      </c>
      <c r="F174" s="75">
        <v>1.4792382558906022E-2</v>
      </c>
      <c r="G174" s="76">
        <v>2.1843638065931103E-2</v>
      </c>
      <c r="H174" s="72" t="s">
        <v>23</v>
      </c>
      <c r="I174" s="72" t="s">
        <v>306</v>
      </c>
    </row>
    <row r="175" spans="1:9" ht="12.75" customHeight="1" x14ac:dyDescent="0.2">
      <c r="A175" s="71">
        <v>7</v>
      </c>
      <c r="B175" s="72" t="s">
        <v>305</v>
      </c>
      <c r="C175" s="73">
        <v>18.061250000000001</v>
      </c>
      <c r="D175" s="74">
        <v>4.7689249999999817</v>
      </c>
      <c r="E175" s="73">
        <v>436.67572815533822</v>
      </c>
      <c r="F175" s="75">
        <v>2.0522289621551404E-3</v>
      </c>
      <c r="G175" s="76">
        <v>7.8668755117544155E-3</v>
      </c>
      <c r="H175" s="72" t="s">
        <v>23</v>
      </c>
      <c r="I175" s="72" t="s">
        <v>306</v>
      </c>
    </row>
    <row r="176" spans="1:9" ht="12.75" customHeight="1" x14ac:dyDescent="0.2">
      <c r="A176" s="71">
        <v>14</v>
      </c>
      <c r="B176" s="72" t="s">
        <v>310</v>
      </c>
      <c r="C176" s="73">
        <v>18.066983333333333</v>
      </c>
      <c r="D176" s="74">
        <v>292.40143333332765</v>
      </c>
      <c r="E176" s="73">
        <v>12702.382843526602</v>
      </c>
      <c r="F176" s="75">
        <v>0.12583017977056313</v>
      </c>
      <c r="G176" s="76">
        <v>0.22883814714135323</v>
      </c>
      <c r="H176" s="72" t="s">
        <v>23</v>
      </c>
      <c r="I176" s="72" t="s">
        <v>311</v>
      </c>
    </row>
    <row r="177" spans="1:9" ht="12.75" customHeight="1" x14ac:dyDescent="0.2">
      <c r="A177" s="71">
        <v>6</v>
      </c>
      <c r="B177" s="72" t="s">
        <v>305</v>
      </c>
      <c r="C177" s="73">
        <v>18.101316666666666</v>
      </c>
      <c r="D177" s="74">
        <v>7.4856166666671271</v>
      </c>
      <c r="E177" s="73">
        <v>644.33203883489205</v>
      </c>
      <c r="F177" s="75">
        <v>3.2213128373638831E-3</v>
      </c>
      <c r="G177" s="76">
        <v>1.160788111389113E-2</v>
      </c>
      <c r="H177" s="72" t="s">
        <v>23</v>
      </c>
      <c r="I177" s="72" t="s">
        <v>306</v>
      </c>
    </row>
    <row r="178" spans="1:9" ht="12.75" customHeight="1" x14ac:dyDescent="0.2">
      <c r="A178" s="71">
        <v>9</v>
      </c>
      <c r="B178" s="72" t="s">
        <v>305</v>
      </c>
      <c r="C178" s="73">
        <v>18.181416666666667</v>
      </c>
      <c r="D178" s="74">
        <v>49.197445480113629</v>
      </c>
      <c r="E178" s="73">
        <v>1938.8831860184837</v>
      </c>
      <c r="F178" s="75">
        <v>2.1171316906501588E-2</v>
      </c>
      <c r="G178" s="76">
        <v>3.492970108660419E-2</v>
      </c>
      <c r="H178" s="72" t="s">
        <v>23</v>
      </c>
      <c r="I178" s="72" t="s">
        <v>306</v>
      </c>
    </row>
    <row r="179" spans="1:9" ht="12.75" customHeight="1" x14ac:dyDescent="0.2">
      <c r="A179" s="71">
        <v>5</v>
      </c>
      <c r="B179" s="72" t="s">
        <v>305</v>
      </c>
      <c r="C179" s="73">
        <v>18.2272</v>
      </c>
      <c r="D179" s="74">
        <v>75.079358001873857</v>
      </c>
      <c r="E179" s="73">
        <v>1966.5620731217386</v>
      </c>
      <c r="F179" s="75">
        <v>3.2309175118388406E-2</v>
      </c>
      <c r="G179" s="76">
        <v>3.5428346523265028E-2</v>
      </c>
      <c r="H179" s="72" t="s">
        <v>23</v>
      </c>
      <c r="I179" s="72" t="s">
        <v>306</v>
      </c>
    </row>
    <row r="180" spans="1:9" ht="12.75" customHeight="1" x14ac:dyDescent="0.2">
      <c r="A180" s="71">
        <v>7</v>
      </c>
      <c r="B180" s="72" t="s">
        <v>305</v>
      </c>
      <c r="C180" s="73">
        <v>18.2272</v>
      </c>
      <c r="D180" s="74">
        <v>75.079358001873857</v>
      </c>
      <c r="E180" s="73">
        <v>1966.5620731217386</v>
      </c>
      <c r="F180" s="75">
        <v>3.2309175118388406E-2</v>
      </c>
      <c r="G180" s="76">
        <v>3.5428346523265028E-2</v>
      </c>
      <c r="H180" s="72" t="s">
        <v>23</v>
      </c>
      <c r="I180" s="72" t="s">
        <v>306</v>
      </c>
    </row>
    <row r="181" spans="1:9" ht="12.75" customHeight="1" x14ac:dyDescent="0.2">
      <c r="A181" s="71">
        <v>7</v>
      </c>
      <c r="B181" s="72" t="s">
        <v>312</v>
      </c>
      <c r="C181" s="73">
        <v>18.307300000000001</v>
      </c>
      <c r="D181" s="74">
        <v>6.7692083333331965</v>
      </c>
      <c r="E181" s="73">
        <v>343.86808156470761</v>
      </c>
      <c r="F181" s="75">
        <v>2.9130182153270113E-3</v>
      </c>
      <c r="G181" s="76">
        <v>6.1949112710314455E-3</v>
      </c>
      <c r="H181" s="72" t="s">
        <v>313</v>
      </c>
      <c r="I181" s="72" t="s">
        <v>314</v>
      </c>
    </row>
    <row r="182" spans="1:9" ht="12.75" customHeight="1" x14ac:dyDescent="0.2">
      <c r="A182" s="71">
        <v>5</v>
      </c>
      <c r="B182" s="72" t="s">
        <v>305</v>
      </c>
      <c r="C182" s="73">
        <v>18.347349999999999</v>
      </c>
      <c r="D182" s="74">
        <v>7.5738333333351875</v>
      </c>
      <c r="E182" s="73">
        <v>999.53890969626354</v>
      </c>
      <c r="F182" s="75">
        <v>3.2592754386379613E-3</v>
      </c>
      <c r="G182" s="76">
        <v>1.8007064887604788E-2</v>
      </c>
      <c r="H182" s="72" t="s">
        <v>23</v>
      </c>
      <c r="I182" s="72" t="s">
        <v>306</v>
      </c>
    </row>
    <row r="183" spans="1:9" ht="12.75" customHeight="1" x14ac:dyDescent="0.2">
      <c r="A183" s="71">
        <v>8</v>
      </c>
      <c r="B183" s="72" t="s">
        <v>312</v>
      </c>
      <c r="C183" s="73">
        <v>18.381683333333335</v>
      </c>
      <c r="D183" s="74">
        <v>10.472250000000052</v>
      </c>
      <c r="E183" s="73">
        <v>408.6666666666631</v>
      </c>
      <c r="F183" s="75">
        <v>4.50656169869087E-3</v>
      </c>
      <c r="G183" s="76">
        <v>7.3622818608471705E-3</v>
      </c>
      <c r="H183" s="72" t="s">
        <v>313</v>
      </c>
      <c r="I183" s="72" t="s">
        <v>314</v>
      </c>
    </row>
    <row r="184" spans="1:9" ht="12.75" customHeight="1" x14ac:dyDescent="0.2">
      <c r="A184" s="71">
        <v>6</v>
      </c>
      <c r="B184" s="72" t="s">
        <v>305</v>
      </c>
      <c r="C184" s="73">
        <v>18.45035</v>
      </c>
      <c r="D184" s="74">
        <v>74.920750000001931</v>
      </c>
      <c r="E184" s="73">
        <v>1893.2528696248137</v>
      </c>
      <c r="F184" s="75">
        <v>3.2240920756017193E-2</v>
      </c>
      <c r="G184" s="76">
        <v>3.4107653980511597E-2</v>
      </c>
      <c r="H184" s="72" t="s">
        <v>23</v>
      </c>
      <c r="I184" s="72" t="s">
        <v>306</v>
      </c>
    </row>
    <row r="185" spans="1:9" ht="12.75" customHeight="1" x14ac:dyDescent="0.2">
      <c r="A185" s="71">
        <v>5</v>
      </c>
      <c r="B185" s="72" t="s">
        <v>312</v>
      </c>
      <c r="C185" s="73">
        <v>18.490400000000001</v>
      </c>
      <c r="D185" s="74">
        <v>7.5431666666665613</v>
      </c>
      <c r="E185" s="73">
        <v>519.18462434479022</v>
      </c>
      <c r="F185" s="75">
        <v>3.2460785396491716E-3</v>
      </c>
      <c r="G185" s="76">
        <v>9.3533039369765938E-3</v>
      </c>
      <c r="H185" s="72" t="s">
        <v>313</v>
      </c>
      <c r="I185" s="72" t="s">
        <v>314</v>
      </c>
    </row>
    <row r="186" spans="1:9" ht="12.75" customHeight="1" x14ac:dyDescent="0.2">
      <c r="A186" s="71">
        <v>10</v>
      </c>
      <c r="B186" s="72" t="s">
        <v>305</v>
      </c>
      <c r="C186" s="73">
        <v>18.564783333333335</v>
      </c>
      <c r="D186" s="74">
        <v>23.311900366595182</v>
      </c>
      <c r="E186" s="73">
        <v>1049.6566523605197</v>
      </c>
      <c r="F186" s="75">
        <v>1.0031895468098545E-2</v>
      </c>
      <c r="G186" s="76">
        <v>1.8909954645493034E-2</v>
      </c>
      <c r="H186" s="72" t="s">
        <v>23</v>
      </c>
      <c r="I186" s="72" t="s">
        <v>306</v>
      </c>
    </row>
    <row r="187" spans="1:9" ht="12.75" customHeight="1" x14ac:dyDescent="0.2">
      <c r="A187" s="71" t="s">
        <v>48</v>
      </c>
      <c r="B187" s="72" t="s">
        <v>305</v>
      </c>
      <c r="C187" s="73" t="s">
        <v>48</v>
      </c>
      <c r="D187" s="74" t="s">
        <v>48</v>
      </c>
      <c r="E187" s="73" t="s">
        <v>48</v>
      </c>
      <c r="F187" s="75" t="s">
        <v>48</v>
      </c>
      <c r="G187" s="76" t="s">
        <v>48</v>
      </c>
      <c r="H187" s="72" t="s">
        <v>23</v>
      </c>
      <c r="I187" s="72" t="s">
        <v>306</v>
      </c>
    </row>
    <row r="188" spans="1:9" ht="12.75" customHeight="1" x14ac:dyDescent="0.2">
      <c r="A188" s="71">
        <v>9</v>
      </c>
      <c r="B188" s="72" t="s">
        <v>312</v>
      </c>
      <c r="C188" s="73">
        <v>18.684950000000001</v>
      </c>
      <c r="D188" s="74">
        <v>29.658300000001034</v>
      </c>
      <c r="E188" s="73">
        <v>919.61469534050116</v>
      </c>
      <c r="F188" s="75">
        <v>1.276296486698536E-2</v>
      </c>
      <c r="G188" s="76">
        <v>1.6567200466086285E-2</v>
      </c>
      <c r="H188" s="72" t="s">
        <v>313</v>
      </c>
      <c r="I188" s="72" t="s">
        <v>314</v>
      </c>
    </row>
    <row r="189" spans="1:9" ht="12.75" customHeight="1" x14ac:dyDescent="0.2">
      <c r="A189" s="71" t="s">
        <v>48</v>
      </c>
      <c r="B189" s="72" t="s">
        <v>315</v>
      </c>
      <c r="C189" s="73" t="s">
        <v>48</v>
      </c>
      <c r="D189" s="74" t="s">
        <v>48</v>
      </c>
      <c r="E189" s="73" t="s">
        <v>48</v>
      </c>
      <c r="F189" s="75" t="s">
        <v>48</v>
      </c>
      <c r="G189" s="76" t="s">
        <v>48</v>
      </c>
      <c r="H189" s="72" t="s">
        <v>316</v>
      </c>
      <c r="I189" s="72" t="s">
        <v>317</v>
      </c>
    </row>
    <row r="190" spans="1:9" ht="12.75" customHeight="1" x14ac:dyDescent="0.2">
      <c r="A190" s="71">
        <v>17</v>
      </c>
      <c r="B190" s="72" t="s">
        <v>312</v>
      </c>
      <c r="C190" s="73">
        <v>18.822283333333335</v>
      </c>
      <c r="D190" s="74">
        <v>15.115424999999647</v>
      </c>
      <c r="E190" s="73">
        <v>425.40679611650285</v>
      </c>
      <c r="F190" s="75">
        <v>6.5046762027675536E-3</v>
      </c>
      <c r="G190" s="76">
        <v>7.6638615135309947E-3</v>
      </c>
      <c r="H190" s="72" t="s">
        <v>313</v>
      </c>
      <c r="I190" s="72" t="s">
        <v>314</v>
      </c>
    </row>
    <row r="191" spans="1:9" ht="12.75" customHeight="1" x14ac:dyDescent="0.2">
      <c r="A191" s="71">
        <v>14</v>
      </c>
      <c r="B191" s="72" t="s">
        <v>305</v>
      </c>
      <c r="C191" s="73">
        <v>18.856616666666667</v>
      </c>
      <c r="D191" s="74">
        <v>46.003416666666055</v>
      </c>
      <c r="E191" s="73">
        <v>2006.0812297734574</v>
      </c>
      <c r="F191" s="75">
        <v>1.9796818788599721E-2</v>
      </c>
      <c r="G191" s="76">
        <v>3.6140298815694714E-2</v>
      </c>
      <c r="H191" s="72" t="s">
        <v>23</v>
      </c>
      <c r="I191" s="72" t="s">
        <v>306</v>
      </c>
    </row>
    <row r="192" spans="1:9" ht="12.75" customHeight="1" x14ac:dyDescent="0.2">
      <c r="A192" s="71">
        <v>2</v>
      </c>
      <c r="B192" s="72" t="s">
        <v>315</v>
      </c>
      <c r="C192" s="73">
        <v>18.953883333333334</v>
      </c>
      <c r="D192" s="74">
        <v>1.9223583333336265</v>
      </c>
      <c r="E192" s="73">
        <v>211.00970873786241</v>
      </c>
      <c r="F192" s="75">
        <v>8.2725550251001412E-4</v>
      </c>
      <c r="G192" s="76">
        <v>3.8014183142824373E-3</v>
      </c>
      <c r="H192" s="72" t="s">
        <v>316</v>
      </c>
      <c r="I192" s="72" t="s">
        <v>317</v>
      </c>
    </row>
    <row r="193" spans="1:9" ht="12.75" customHeight="1" x14ac:dyDescent="0.2">
      <c r="A193" s="71" t="s">
        <v>48</v>
      </c>
      <c r="B193" s="72" t="s">
        <v>315</v>
      </c>
      <c r="C193" s="73" t="s">
        <v>48</v>
      </c>
      <c r="D193" s="74" t="s">
        <v>48</v>
      </c>
      <c r="E193" s="73" t="s">
        <v>48</v>
      </c>
      <c r="F193" s="75" t="s">
        <v>48</v>
      </c>
      <c r="G193" s="76" t="s">
        <v>48</v>
      </c>
      <c r="H193" s="72" t="s">
        <v>316</v>
      </c>
      <c r="I193" s="72" t="s">
        <v>317</v>
      </c>
    </row>
    <row r="194" spans="1:9" ht="12.75" customHeight="1" x14ac:dyDescent="0.2">
      <c r="A194" s="71" t="s">
        <v>48</v>
      </c>
      <c r="B194" s="72" t="s">
        <v>305</v>
      </c>
      <c r="C194" s="73" t="s">
        <v>48</v>
      </c>
      <c r="D194" s="74" t="s">
        <v>48</v>
      </c>
      <c r="E194" s="73" t="s">
        <v>48</v>
      </c>
      <c r="F194" s="75" t="s">
        <v>48</v>
      </c>
      <c r="G194" s="76" t="s">
        <v>48</v>
      </c>
      <c r="H194" s="72" t="s">
        <v>23</v>
      </c>
      <c r="I194" s="72" t="s">
        <v>306</v>
      </c>
    </row>
    <row r="195" spans="1:9" ht="12.75" customHeight="1" x14ac:dyDescent="0.2">
      <c r="A195" s="71">
        <v>15</v>
      </c>
      <c r="B195" s="72" t="s">
        <v>312</v>
      </c>
      <c r="C195" s="73">
        <v>19.07405</v>
      </c>
      <c r="D195" s="74">
        <v>3.3498500000002061</v>
      </c>
      <c r="E195" s="73">
        <v>193.6911871813777</v>
      </c>
      <c r="F195" s="75">
        <v>1.4415532198295939E-3</v>
      </c>
      <c r="G195" s="76">
        <v>3.4894187128664518E-3</v>
      </c>
      <c r="H195" s="72" t="s">
        <v>313</v>
      </c>
      <c r="I195" s="72" t="s">
        <v>314</v>
      </c>
    </row>
    <row r="196" spans="1:9" ht="12.75" customHeight="1" x14ac:dyDescent="0.2">
      <c r="A196" s="71">
        <v>13</v>
      </c>
      <c r="B196" s="72" t="s">
        <v>315</v>
      </c>
      <c r="C196" s="73">
        <v>19.136983333333333</v>
      </c>
      <c r="D196" s="74">
        <v>8.0699083333337711</v>
      </c>
      <c r="E196" s="73">
        <v>445.27091136079957</v>
      </c>
      <c r="F196" s="75">
        <v>3.4727532103366585E-3</v>
      </c>
      <c r="G196" s="76">
        <v>8.0217209311774836E-3</v>
      </c>
      <c r="H196" s="72" t="s">
        <v>316</v>
      </c>
      <c r="I196" s="72" t="s">
        <v>317</v>
      </c>
    </row>
    <row r="197" spans="1:9" ht="12.75" customHeight="1" x14ac:dyDescent="0.2">
      <c r="A197" s="71" t="s">
        <v>48</v>
      </c>
      <c r="B197" s="72" t="s">
        <v>312</v>
      </c>
      <c r="C197" s="73" t="s">
        <v>48</v>
      </c>
      <c r="D197" s="74" t="s">
        <v>48</v>
      </c>
      <c r="E197" s="73" t="s">
        <v>48</v>
      </c>
      <c r="F197" s="75" t="s">
        <v>48</v>
      </c>
      <c r="G197" s="76" t="s">
        <v>48</v>
      </c>
      <c r="H197" s="72" t="s">
        <v>313</v>
      </c>
      <c r="I197" s="72" t="s">
        <v>314</v>
      </c>
    </row>
    <row r="198" spans="1:9" ht="12.75" customHeight="1" x14ac:dyDescent="0.2">
      <c r="A198" s="71">
        <v>5</v>
      </c>
      <c r="B198" s="72" t="s">
        <v>315</v>
      </c>
      <c r="C198" s="73">
        <v>19.205650000000002</v>
      </c>
      <c r="D198" s="74">
        <v>2.8143916666665802</v>
      </c>
      <c r="E198" s="73">
        <v>319.02038834951099</v>
      </c>
      <c r="F198" s="75">
        <v>1.211127474049446E-3</v>
      </c>
      <c r="G198" s="76">
        <v>5.7472708443377938E-3</v>
      </c>
      <c r="H198" s="72" t="s">
        <v>316</v>
      </c>
      <c r="I198" s="72" t="s">
        <v>317</v>
      </c>
    </row>
    <row r="199" spans="1:9" ht="12.75" customHeight="1" x14ac:dyDescent="0.2">
      <c r="A199" s="71">
        <v>7</v>
      </c>
      <c r="B199" s="72" t="s">
        <v>312</v>
      </c>
      <c r="C199" s="73">
        <v>19.280033333333332</v>
      </c>
      <c r="D199" s="74">
        <v>0.87576666666640079</v>
      </c>
      <c r="E199" s="73">
        <v>437.10560815732333</v>
      </c>
      <c r="F199" s="75">
        <v>3.7687187729370066E-4</v>
      </c>
      <c r="G199" s="76">
        <v>7.8746199597339167E-3</v>
      </c>
      <c r="H199" s="72" t="s">
        <v>313</v>
      </c>
      <c r="I199" s="72" t="s">
        <v>314</v>
      </c>
    </row>
    <row r="200" spans="1:9" ht="12.75" customHeight="1" x14ac:dyDescent="0.2">
      <c r="A200" s="71" t="s">
        <v>48</v>
      </c>
      <c r="B200" s="72" t="s">
        <v>305</v>
      </c>
      <c r="C200" s="73" t="s">
        <v>48</v>
      </c>
      <c r="D200" s="74" t="s">
        <v>48</v>
      </c>
      <c r="E200" s="73" t="s">
        <v>48</v>
      </c>
      <c r="F200" s="75" t="s">
        <v>48</v>
      </c>
      <c r="G200" s="76" t="s">
        <v>48</v>
      </c>
      <c r="H200" s="72" t="s">
        <v>23</v>
      </c>
      <c r="I200" s="72" t="s">
        <v>306</v>
      </c>
    </row>
    <row r="201" spans="1:9" ht="12.75" customHeight="1" x14ac:dyDescent="0.2">
      <c r="A201" s="71" t="s">
        <v>48</v>
      </c>
      <c r="B201" s="72" t="s">
        <v>312</v>
      </c>
      <c r="C201" s="73" t="s">
        <v>48</v>
      </c>
      <c r="D201" s="74" t="s">
        <v>48</v>
      </c>
      <c r="E201" s="73" t="s">
        <v>48</v>
      </c>
      <c r="F201" s="75" t="s">
        <v>48</v>
      </c>
      <c r="G201" s="76" t="s">
        <v>48</v>
      </c>
      <c r="H201" s="72" t="s">
        <v>313</v>
      </c>
      <c r="I201" s="72" t="s">
        <v>314</v>
      </c>
    </row>
    <row r="202" spans="1:9" ht="12.75" customHeight="1" x14ac:dyDescent="0.2">
      <c r="A202" s="71">
        <v>5</v>
      </c>
      <c r="B202" s="72" t="s">
        <v>315</v>
      </c>
      <c r="C202" s="73">
        <v>19.365866666666665</v>
      </c>
      <c r="D202" s="74">
        <v>8.9543666666669139</v>
      </c>
      <c r="E202" s="73">
        <v>374.24972697488147</v>
      </c>
      <c r="F202" s="75">
        <v>3.8533654043815943E-3</v>
      </c>
      <c r="G202" s="76">
        <v>6.742247902938499E-3</v>
      </c>
      <c r="H202" s="72" t="s">
        <v>316</v>
      </c>
      <c r="I202" s="72" t="s">
        <v>317</v>
      </c>
    </row>
    <row r="203" spans="1:9" ht="12.75" customHeight="1" x14ac:dyDescent="0.2">
      <c r="A203" s="71">
        <v>8</v>
      </c>
      <c r="B203" s="72" t="s">
        <v>312</v>
      </c>
      <c r="C203" s="73">
        <v>19.428799999999999</v>
      </c>
      <c r="D203" s="74">
        <v>1.790824999999959</v>
      </c>
      <c r="E203" s="73">
        <v>169.6776699029142</v>
      </c>
      <c r="F203" s="75">
        <v>7.7065228141591849E-4</v>
      </c>
      <c r="G203" s="76">
        <v>3.0568062756534667E-3</v>
      </c>
      <c r="H203" s="72" t="s">
        <v>313</v>
      </c>
      <c r="I203" s="72" t="s">
        <v>314</v>
      </c>
    </row>
    <row r="204" spans="1:9" ht="12.75" customHeight="1" x14ac:dyDescent="0.2">
      <c r="A204" s="71">
        <v>5</v>
      </c>
      <c r="B204" s="72" t="s">
        <v>312</v>
      </c>
      <c r="C204" s="73">
        <v>19.428799999999999</v>
      </c>
      <c r="D204" s="74">
        <v>1.790824999999959</v>
      </c>
      <c r="E204" s="73">
        <v>169.6776699029142</v>
      </c>
      <c r="F204" s="75">
        <v>7.7065228141591849E-4</v>
      </c>
      <c r="G204" s="76">
        <v>3.0568062756534667E-3</v>
      </c>
      <c r="H204" s="72" t="s">
        <v>313</v>
      </c>
      <c r="I204" s="72" t="s">
        <v>314</v>
      </c>
    </row>
    <row r="205" spans="1:9" ht="12.75" customHeight="1" x14ac:dyDescent="0.2">
      <c r="A205" s="71">
        <v>9</v>
      </c>
      <c r="B205" s="72" t="s">
        <v>305</v>
      </c>
      <c r="C205" s="73">
        <v>19.508916666666668</v>
      </c>
      <c r="D205" s="74">
        <v>29.11441825974731</v>
      </c>
      <c r="E205" s="73">
        <v>1520.1580561091523</v>
      </c>
      <c r="F205" s="75">
        <v>1.252891424565329E-2</v>
      </c>
      <c r="G205" s="76">
        <v>2.7386212272707679E-2</v>
      </c>
      <c r="H205" s="72" t="s">
        <v>23</v>
      </c>
      <c r="I205" s="72" t="s">
        <v>306</v>
      </c>
    </row>
    <row r="206" spans="1:9" ht="12.75" customHeight="1" x14ac:dyDescent="0.2">
      <c r="A206" s="71" t="s">
        <v>48</v>
      </c>
      <c r="B206" s="72" t="s">
        <v>312</v>
      </c>
      <c r="C206" s="73" t="s">
        <v>48</v>
      </c>
      <c r="D206" s="74" t="s">
        <v>48</v>
      </c>
      <c r="E206" s="73" t="s">
        <v>48</v>
      </c>
      <c r="F206" s="75" t="s">
        <v>48</v>
      </c>
      <c r="G206" s="76" t="s">
        <v>48</v>
      </c>
      <c r="H206" s="72" t="s">
        <v>313</v>
      </c>
      <c r="I206" s="72" t="s">
        <v>314</v>
      </c>
    </row>
    <row r="207" spans="1:9" ht="12.75" customHeight="1" x14ac:dyDescent="0.2">
      <c r="A207" s="71">
        <v>4</v>
      </c>
      <c r="B207" s="72" t="s">
        <v>312</v>
      </c>
      <c r="C207" s="73">
        <v>19.663399999999999</v>
      </c>
      <c r="D207" s="74">
        <v>8.0451269725174726</v>
      </c>
      <c r="E207" s="73">
        <v>449.44414893617022</v>
      </c>
      <c r="F207" s="75">
        <v>3.4620889565711186E-3</v>
      </c>
      <c r="G207" s="76">
        <v>8.0969033568760746E-3</v>
      </c>
      <c r="H207" s="72" t="s">
        <v>313</v>
      </c>
      <c r="I207" s="72" t="s">
        <v>314</v>
      </c>
    </row>
    <row r="208" spans="1:9" ht="12.75" customHeight="1" x14ac:dyDescent="0.2">
      <c r="A208" s="71">
        <v>5</v>
      </c>
      <c r="B208" s="72" t="s">
        <v>312</v>
      </c>
      <c r="C208" s="73">
        <v>19.663399999999999</v>
      </c>
      <c r="D208" s="74">
        <v>8.0451269725174726</v>
      </c>
      <c r="E208" s="73">
        <v>449.44414893617022</v>
      </c>
      <c r="F208" s="75">
        <v>3.4620889565711186E-3</v>
      </c>
      <c r="G208" s="76">
        <v>8.0969033568760746E-3</v>
      </c>
      <c r="H208" s="72" t="s">
        <v>313</v>
      </c>
      <c r="I208" s="72" t="s">
        <v>314</v>
      </c>
    </row>
    <row r="209" spans="1:9" ht="12.75" customHeight="1" x14ac:dyDescent="0.2">
      <c r="A209" s="71">
        <v>6</v>
      </c>
      <c r="B209" s="72" t="s">
        <v>312</v>
      </c>
      <c r="C209" s="73">
        <v>19.777850000000001</v>
      </c>
      <c r="D209" s="74">
        <v>0.79461666666662722</v>
      </c>
      <c r="E209" s="73">
        <v>87.333333333320979</v>
      </c>
      <c r="F209" s="75">
        <v>3.4195030056971662E-4</v>
      </c>
      <c r="G209" s="76">
        <v>1.5733424531335261E-3</v>
      </c>
      <c r="H209" s="72" t="s">
        <v>313</v>
      </c>
      <c r="I209" s="72" t="s">
        <v>314</v>
      </c>
    </row>
    <row r="210" spans="1:9" ht="12.75" customHeight="1" x14ac:dyDescent="0.2">
      <c r="A210" s="71">
        <v>4</v>
      </c>
      <c r="B210" s="72" t="s">
        <v>312</v>
      </c>
      <c r="C210" s="73">
        <v>19.829350000000002</v>
      </c>
      <c r="D210" s="74">
        <v>4.5440999999999363</v>
      </c>
      <c r="E210" s="73">
        <v>594</v>
      </c>
      <c r="F210" s="75">
        <v>1.9554791964497401E-3</v>
      </c>
      <c r="G210" s="76">
        <v>1.0701130730856259E-2</v>
      </c>
      <c r="H210" s="72" t="s">
        <v>313</v>
      </c>
      <c r="I210" s="72" t="s">
        <v>314</v>
      </c>
    </row>
    <row r="211" spans="1:9" ht="12.75" customHeight="1" x14ac:dyDescent="0.2">
      <c r="A211" s="71">
        <v>13</v>
      </c>
      <c r="B211" s="72" t="s">
        <v>312</v>
      </c>
      <c r="C211" s="73">
        <v>19.898016666666667</v>
      </c>
      <c r="D211" s="74">
        <v>23.268666666666718</v>
      </c>
      <c r="E211" s="73">
        <v>793.19982522575015</v>
      </c>
      <c r="F211" s="75">
        <v>1.0013290551658399E-2</v>
      </c>
      <c r="G211" s="76">
        <v>1.4289789605106207E-2</v>
      </c>
      <c r="H211" s="72" t="s">
        <v>313</v>
      </c>
      <c r="I211" s="72" t="s">
        <v>314</v>
      </c>
    </row>
    <row r="212" spans="1:9" ht="12.75" customHeight="1" x14ac:dyDescent="0.2">
      <c r="A212" s="77">
        <v>5</v>
      </c>
      <c r="B212" s="78" t="s">
        <v>312</v>
      </c>
      <c r="C212" s="79">
        <v>19.983833333333333</v>
      </c>
      <c r="D212" s="80">
        <v>8.767683333332954</v>
      </c>
      <c r="E212" s="79">
        <v>328.05992509363068</v>
      </c>
      <c r="F212" s="81">
        <v>3.7730292817922026E-3</v>
      </c>
      <c r="G212" s="82">
        <v>5.9101214578819077E-3</v>
      </c>
      <c r="H212" s="78" t="s">
        <v>313</v>
      </c>
      <c r="I212" s="78" t="s">
        <v>314</v>
      </c>
    </row>
    <row r="213" spans="1:9" ht="16.5" customHeight="1" x14ac:dyDescent="0.2">
      <c r="A213" s="83" t="s">
        <v>318</v>
      </c>
      <c r="B213" s="84"/>
      <c r="C213" s="85"/>
      <c r="D213" s="86">
        <f>SUM(D44:D212)</f>
        <v>34346.701137005402</v>
      </c>
      <c r="E213" s="86">
        <f>SUM(E44:E212)</f>
        <v>845258.71132803289</v>
      </c>
      <c r="F213" s="86">
        <f>SUM(F44:F212)</f>
        <v>14.780541700246832</v>
      </c>
      <c r="G213" s="86">
        <f>SUM(I44:I212)</f>
        <v>0</v>
      </c>
      <c r="H213" s="87"/>
      <c r="I213" s="41"/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7ED1-1628-4012-A981-6BF386881498}">
  <dimension ref="A1:I162"/>
  <sheetViews>
    <sheetView tabSelected="1" workbookViewId="0">
      <selection activeCell="A128" sqref="A128:XFD128"/>
    </sheetView>
  </sheetViews>
  <sheetFormatPr defaultRowHeight="12.75" x14ac:dyDescent="0.2"/>
  <sheetData>
    <row r="1" spans="1:9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</row>
    <row r="2" spans="1:9" x14ac:dyDescent="0.2">
      <c r="A2">
        <v>1</v>
      </c>
      <c r="B2" t="s">
        <v>72</v>
      </c>
      <c r="C2">
        <v>3.13835</v>
      </c>
      <c r="D2">
        <v>20.425066666666567</v>
      </c>
      <c r="E2">
        <v>1018.4135922330097</v>
      </c>
      <c r="F2">
        <v>8.789593748545604E-3</v>
      </c>
      <c r="G2">
        <v>1.83470993073508E-2</v>
      </c>
      <c r="H2" t="s">
        <v>73</v>
      </c>
      <c r="I2" t="s">
        <v>74</v>
      </c>
    </row>
    <row r="3" spans="1:9" x14ac:dyDescent="0.2">
      <c r="A3">
        <v>3</v>
      </c>
      <c r="B3" t="s">
        <v>75</v>
      </c>
      <c r="C3">
        <v>3.1955666666666667</v>
      </c>
      <c r="D3">
        <v>7.5202083333334144</v>
      </c>
      <c r="E3">
        <v>592.97523670793862</v>
      </c>
      <c r="F3">
        <v>3.2361987959775695E-3</v>
      </c>
      <c r="G3">
        <v>1.0682669239346946E-2</v>
      </c>
      <c r="H3" t="s">
        <v>76</v>
      </c>
      <c r="I3" t="s">
        <v>77</v>
      </c>
    </row>
    <row r="4" spans="1:9" x14ac:dyDescent="0.2">
      <c r="A4">
        <v>5</v>
      </c>
      <c r="B4" t="s">
        <v>78</v>
      </c>
      <c r="C4">
        <v>3.3157333333333332</v>
      </c>
      <c r="D4">
        <v>5.4255210598704764</v>
      </c>
      <c r="E4">
        <v>332.58155339805307</v>
      </c>
      <c r="F4">
        <v>2.3347843494810438E-3</v>
      </c>
      <c r="G4">
        <v>5.9915802720266285E-3</v>
      </c>
      <c r="H4" t="s">
        <v>79</v>
      </c>
      <c r="I4" t="s">
        <v>80</v>
      </c>
    </row>
    <row r="5" spans="1:9" x14ac:dyDescent="0.2">
      <c r="A5">
        <v>7</v>
      </c>
      <c r="B5" t="s">
        <v>75</v>
      </c>
      <c r="C5">
        <v>3.3443499999999999</v>
      </c>
      <c r="D5">
        <v>2.7179083333332414</v>
      </c>
      <c r="E5">
        <v>268.10839160838668</v>
      </c>
      <c r="F5">
        <v>1.169607447831389E-3</v>
      </c>
      <c r="G5">
        <v>4.8300723041093448E-3</v>
      </c>
      <c r="H5" t="s">
        <v>76</v>
      </c>
      <c r="I5" t="s">
        <v>77</v>
      </c>
    </row>
    <row r="6" spans="1:9" x14ac:dyDescent="0.2">
      <c r="A6">
        <v>10</v>
      </c>
      <c r="B6" t="s">
        <v>78</v>
      </c>
      <c r="C6">
        <v>3.52745</v>
      </c>
      <c r="D6">
        <v>5.0184250000000077</v>
      </c>
      <c r="E6">
        <v>259.02427184466035</v>
      </c>
      <c r="F6">
        <v>2.1595972109864311E-3</v>
      </c>
      <c r="G6">
        <v>4.6664185108999338E-3</v>
      </c>
      <c r="H6" t="s">
        <v>79</v>
      </c>
      <c r="I6" t="s">
        <v>80</v>
      </c>
    </row>
    <row r="7" spans="1:9" x14ac:dyDescent="0.2">
      <c r="A7">
        <v>3</v>
      </c>
      <c r="B7" t="s">
        <v>78</v>
      </c>
      <c r="C7">
        <v>3.6075500000000003</v>
      </c>
      <c r="D7">
        <v>7.1137249999999739</v>
      </c>
      <c r="E7">
        <v>421.33592233009693</v>
      </c>
      <c r="F7">
        <v>3.0612753343378391E-3</v>
      </c>
      <c r="G7">
        <v>7.5905232095290669E-3</v>
      </c>
      <c r="H7" t="s">
        <v>79</v>
      </c>
      <c r="I7" t="s">
        <v>80</v>
      </c>
    </row>
    <row r="8" spans="1:9" x14ac:dyDescent="0.2">
      <c r="A8">
        <v>4</v>
      </c>
      <c r="B8" t="s">
        <v>78</v>
      </c>
      <c r="C8">
        <v>3.6705000000000001</v>
      </c>
      <c r="D8">
        <v>6.931158333333336</v>
      </c>
      <c r="E8">
        <v>251.59598019225166</v>
      </c>
      <c r="F8">
        <v>2.9827107519933066E-3</v>
      </c>
      <c r="G8">
        <v>4.5325950764229066E-3</v>
      </c>
      <c r="H8" t="s">
        <v>79</v>
      </c>
      <c r="I8" t="s">
        <v>80</v>
      </c>
    </row>
    <row r="9" spans="1:9" x14ac:dyDescent="0.2">
      <c r="A9">
        <v>12</v>
      </c>
      <c r="B9" t="s">
        <v>81</v>
      </c>
      <c r="C9">
        <v>3.8936500000000001</v>
      </c>
      <c r="D9">
        <v>316.5036416666664</v>
      </c>
      <c r="E9">
        <v>3300</v>
      </c>
      <c r="F9">
        <v>0.13620217136061225</v>
      </c>
      <c r="G9">
        <v>5.9450726282534769E-2</v>
      </c>
      <c r="H9" t="s">
        <v>23</v>
      </c>
      <c r="I9" t="s">
        <v>82</v>
      </c>
    </row>
    <row r="10" spans="1:9" x14ac:dyDescent="0.2">
      <c r="A10">
        <v>6</v>
      </c>
      <c r="B10" t="s">
        <v>83</v>
      </c>
      <c r="C10">
        <v>4.0653166666666669</v>
      </c>
      <c r="D10">
        <v>1.1962833333333194</v>
      </c>
      <c r="E10">
        <v>88.400116482236456</v>
      </c>
      <c r="F10">
        <v>5.1480098840097905E-4</v>
      </c>
      <c r="G10">
        <v>1.5925609479786758E-3</v>
      </c>
      <c r="H10" t="s">
        <v>84</v>
      </c>
      <c r="I10" t="s">
        <v>85</v>
      </c>
    </row>
    <row r="11" spans="1:9" x14ac:dyDescent="0.2">
      <c r="A11">
        <v>6</v>
      </c>
      <c r="B11" t="s">
        <v>86</v>
      </c>
      <c r="C11">
        <v>4.2484166666666665</v>
      </c>
      <c r="D11">
        <v>3.3858666666667219</v>
      </c>
      <c r="E11">
        <v>400</v>
      </c>
      <c r="F11">
        <v>1.4570524039126548E-3</v>
      </c>
      <c r="G11">
        <v>7.2061486403072446E-3</v>
      </c>
      <c r="H11" t="s">
        <v>23</v>
      </c>
      <c r="I11" t="s">
        <v>87</v>
      </c>
    </row>
    <row r="12" spans="1:9" x14ac:dyDescent="0.2">
      <c r="A12">
        <v>15</v>
      </c>
      <c r="B12" t="s">
        <v>88</v>
      </c>
      <c r="C12">
        <v>4.5516833333333331</v>
      </c>
      <c r="D12">
        <v>1.9836833333333108</v>
      </c>
      <c r="E12">
        <v>181</v>
      </c>
      <c r="F12">
        <v>8.5364571437191524E-4</v>
      </c>
      <c r="G12">
        <v>3.2607822597390283E-3</v>
      </c>
      <c r="H12" t="s">
        <v>23</v>
      </c>
      <c r="I12" t="s">
        <v>89</v>
      </c>
    </row>
    <row r="13" spans="1:9" x14ac:dyDescent="0.2">
      <c r="A13">
        <v>3</v>
      </c>
      <c r="B13" t="s">
        <v>90</v>
      </c>
      <c r="C13">
        <v>5.2154333333333334</v>
      </c>
      <c r="D13">
        <v>51.286022274198295</v>
      </c>
      <c r="E13">
        <v>1159.0909090909097</v>
      </c>
      <c r="F13">
        <v>2.207010180802671E-2</v>
      </c>
      <c r="G13">
        <v>2.0881453446344869E-2</v>
      </c>
      <c r="H13" t="s">
        <v>91</v>
      </c>
      <c r="I13" t="s">
        <v>92</v>
      </c>
    </row>
    <row r="14" spans="1:9" x14ac:dyDescent="0.2">
      <c r="A14">
        <v>2</v>
      </c>
      <c r="B14" t="s">
        <v>93</v>
      </c>
      <c r="C14">
        <v>5.2211499999999997</v>
      </c>
      <c r="D14">
        <v>144.17027612703956</v>
      </c>
      <c r="E14">
        <v>1416.2574104746132</v>
      </c>
      <c r="F14">
        <v>6.2041322971071164E-2</v>
      </c>
      <c r="G14">
        <v>2.5514403532041732E-2</v>
      </c>
      <c r="H14" t="s">
        <v>23</v>
      </c>
      <c r="I14" t="s">
        <v>94</v>
      </c>
    </row>
    <row r="15" spans="1:9" x14ac:dyDescent="0.2">
      <c r="A15">
        <v>3</v>
      </c>
      <c r="B15" t="s">
        <v>93</v>
      </c>
      <c r="C15">
        <v>5.3127000000000004</v>
      </c>
      <c r="D15">
        <v>61.616107206293705</v>
      </c>
      <c r="E15">
        <v>820.0615112227996</v>
      </c>
      <c r="F15">
        <v>2.6515485092345234E-2</v>
      </c>
      <c r="G15">
        <v>1.4773712860166203E-2</v>
      </c>
      <c r="H15" t="s">
        <v>23</v>
      </c>
      <c r="I15" t="s">
        <v>94</v>
      </c>
    </row>
    <row r="16" spans="1:9" x14ac:dyDescent="0.2">
      <c r="A16">
        <v>3</v>
      </c>
      <c r="B16" t="s">
        <v>93</v>
      </c>
      <c r="C16">
        <v>5.3127000000000004</v>
      </c>
      <c r="D16">
        <v>61.616107206293705</v>
      </c>
      <c r="E16">
        <v>820.0615112227996</v>
      </c>
      <c r="F16">
        <v>2.6515485092345234E-2</v>
      </c>
      <c r="G16">
        <v>1.4773712860166203E-2</v>
      </c>
      <c r="H16" t="s">
        <v>23</v>
      </c>
      <c r="I16" t="s">
        <v>94</v>
      </c>
    </row>
    <row r="17" spans="1:9" x14ac:dyDescent="0.2">
      <c r="A17">
        <v>2</v>
      </c>
      <c r="B17" t="s">
        <v>95</v>
      </c>
      <c r="C17">
        <v>6.6459166666666665</v>
      </c>
      <c r="D17">
        <v>0.85874999999999702</v>
      </c>
      <c r="E17">
        <v>150</v>
      </c>
      <c r="F17">
        <v>3.6954903280104584E-4</v>
      </c>
      <c r="G17">
        <v>2.7023057401152168E-3</v>
      </c>
      <c r="H17" t="s">
        <v>23</v>
      </c>
      <c r="I17" t="s">
        <v>96</v>
      </c>
    </row>
    <row r="18" spans="1:9" x14ac:dyDescent="0.2">
      <c r="A18">
        <v>2</v>
      </c>
      <c r="B18" t="s">
        <v>97</v>
      </c>
      <c r="C18">
        <v>6.8919666666666668</v>
      </c>
      <c r="D18">
        <v>99.514233333332712</v>
      </c>
      <c r="E18">
        <v>2814</v>
      </c>
      <c r="F18">
        <v>4.2824324516181456E-2</v>
      </c>
      <c r="G18">
        <v>5.0695255684561465E-2</v>
      </c>
      <c r="H18" t="s">
        <v>23</v>
      </c>
      <c r="I18" t="s">
        <v>98</v>
      </c>
    </row>
    <row r="19" spans="1:9" x14ac:dyDescent="0.2">
      <c r="A19">
        <v>3</v>
      </c>
      <c r="B19" t="s">
        <v>99</v>
      </c>
      <c r="C19">
        <v>7.0064000000000002</v>
      </c>
      <c r="D19">
        <v>6.7114416666666363</v>
      </c>
      <c r="E19">
        <v>290</v>
      </c>
      <c r="F19">
        <v>2.8881592740812845E-3</v>
      </c>
      <c r="G19">
        <v>5.224457764222752E-3</v>
      </c>
      <c r="H19" t="s">
        <v>23</v>
      </c>
      <c r="I19" t="s">
        <v>100</v>
      </c>
    </row>
    <row r="20" spans="1:9" x14ac:dyDescent="0.2">
      <c r="A20">
        <v>9</v>
      </c>
      <c r="B20" t="s">
        <v>101</v>
      </c>
      <c r="C20">
        <v>7.1093999999999999</v>
      </c>
      <c r="D20">
        <v>1.0690166666666943</v>
      </c>
      <c r="E20">
        <v>187</v>
      </c>
      <c r="F20">
        <v>4.6003385760102036E-4</v>
      </c>
      <c r="G20">
        <v>3.3688744893436368E-3</v>
      </c>
      <c r="H20" t="s">
        <v>23</v>
      </c>
      <c r="I20" t="s">
        <v>102</v>
      </c>
    </row>
    <row r="21" spans="1:9" x14ac:dyDescent="0.2">
      <c r="A21">
        <v>1</v>
      </c>
      <c r="B21" t="s">
        <v>103</v>
      </c>
      <c r="C21">
        <v>7.3039500000000004</v>
      </c>
      <c r="D21">
        <v>5.8821166666667102</v>
      </c>
      <c r="E21">
        <v>382</v>
      </c>
      <c r="F21">
        <v>2.5312728093037579E-3</v>
      </c>
      <c r="G21">
        <v>6.8818719514934183E-3</v>
      </c>
      <c r="H21" t="s">
        <v>23</v>
      </c>
      <c r="I21" t="s">
        <v>104</v>
      </c>
    </row>
    <row r="22" spans="1:9" x14ac:dyDescent="0.2">
      <c r="A22">
        <v>8</v>
      </c>
      <c r="B22" t="s">
        <v>105</v>
      </c>
      <c r="C22">
        <v>7.567166666666667</v>
      </c>
      <c r="D22">
        <v>192.28308416252614</v>
      </c>
      <c r="E22">
        <v>3054.383106313715</v>
      </c>
      <c r="F22">
        <v>8.2745883873378598E-2</v>
      </c>
      <c r="G22">
        <v>5.5025846671349993E-2</v>
      </c>
      <c r="H22" t="s">
        <v>106</v>
      </c>
      <c r="I22" t="s">
        <v>107</v>
      </c>
    </row>
    <row r="23" spans="1:9" x14ac:dyDescent="0.2">
      <c r="A23">
        <v>11</v>
      </c>
      <c r="B23" t="s">
        <v>108</v>
      </c>
      <c r="C23">
        <v>7.6930500000000004</v>
      </c>
      <c r="D23">
        <v>0.91599999999999682</v>
      </c>
      <c r="E23">
        <v>160</v>
      </c>
      <c r="F23">
        <v>3.9418563498778221E-4</v>
      </c>
      <c r="G23">
        <v>2.8824594561228977E-3</v>
      </c>
      <c r="H23" t="s">
        <v>23</v>
      </c>
      <c r="I23" t="s">
        <v>109</v>
      </c>
    </row>
    <row r="24" spans="1:9" x14ac:dyDescent="0.2">
      <c r="A24">
        <v>9</v>
      </c>
      <c r="B24" t="s">
        <v>110</v>
      </c>
      <c r="C24">
        <v>7.8017666666666665</v>
      </c>
      <c r="D24">
        <v>3.8349500000000027</v>
      </c>
      <c r="E24">
        <v>248.59580663948782</v>
      </c>
      <c r="F24">
        <v>1.6503080795812247E-3</v>
      </c>
      <c r="G24">
        <v>4.4785458350030697E-3</v>
      </c>
      <c r="H24" t="s">
        <v>111</v>
      </c>
      <c r="I24" t="s">
        <v>112</v>
      </c>
    </row>
    <row r="25" spans="1:9" x14ac:dyDescent="0.2">
      <c r="A25">
        <v>6</v>
      </c>
      <c r="B25" t="s">
        <v>110</v>
      </c>
      <c r="C25">
        <v>7.8875833333333336</v>
      </c>
      <c r="D25">
        <v>8.5167083333334261</v>
      </c>
      <c r="E25">
        <v>266.65495145631155</v>
      </c>
      <c r="F25">
        <v>3.665026290808717E-3</v>
      </c>
      <c r="G25">
        <v>4.8038880396702342E-3</v>
      </c>
      <c r="H25" t="s">
        <v>111</v>
      </c>
      <c r="I25" t="s">
        <v>112</v>
      </c>
    </row>
    <row r="26" spans="1:9" x14ac:dyDescent="0.2">
      <c r="A26">
        <v>7</v>
      </c>
      <c r="B26" t="s">
        <v>113</v>
      </c>
      <c r="C26">
        <v>8.0134666666666661</v>
      </c>
      <c r="D26">
        <v>5.9007249999999214</v>
      </c>
      <c r="E26">
        <v>407.40574282147242</v>
      </c>
      <c r="F26">
        <v>2.5392806015428586E-3</v>
      </c>
      <c r="G26">
        <v>7.3395658492157916E-3</v>
      </c>
      <c r="H26" t="s">
        <v>114</v>
      </c>
      <c r="I26" t="s">
        <v>115</v>
      </c>
    </row>
    <row r="27" spans="1:9" x14ac:dyDescent="0.2">
      <c r="A27">
        <v>5</v>
      </c>
      <c r="B27" t="s">
        <v>116</v>
      </c>
      <c r="C27">
        <v>8.0707000000000004</v>
      </c>
      <c r="D27">
        <v>6.8110833333332543</v>
      </c>
      <c r="E27">
        <v>236</v>
      </c>
      <c r="F27">
        <v>2.9310384374505219E-3</v>
      </c>
      <c r="G27">
        <v>4.2516276977812746E-3</v>
      </c>
      <c r="H27" t="s">
        <v>23</v>
      </c>
      <c r="I27" t="s">
        <v>117</v>
      </c>
    </row>
    <row r="28" spans="1:9" x14ac:dyDescent="0.2">
      <c r="A28">
        <v>8</v>
      </c>
      <c r="B28" t="s">
        <v>116</v>
      </c>
      <c r="C28">
        <v>8.1565166666666666</v>
      </c>
      <c r="D28">
        <v>6.4084166666665254</v>
      </c>
      <c r="E28">
        <v>312</v>
      </c>
      <c r="F28">
        <v>2.7577574159565938E-3</v>
      </c>
      <c r="G28">
        <v>5.6207959394396507E-3</v>
      </c>
      <c r="H28" t="s">
        <v>23</v>
      </c>
      <c r="I28" t="s">
        <v>117</v>
      </c>
    </row>
    <row r="29" spans="1:9" x14ac:dyDescent="0.2">
      <c r="A29">
        <v>2</v>
      </c>
      <c r="B29" t="s">
        <v>118</v>
      </c>
      <c r="C29">
        <v>8.173683333333333</v>
      </c>
      <c r="D29">
        <v>9.9054499999998153</v>
      </c>
      <c r="E29">
        <v>504</v>
      </c>
      <c r="F29">
        <v>4.2626485787005111E-3</v>
      </c>
      <c r="G29">
        <v>9.0797472867871279E-3</v>
      </c>
      <c r="H29" t="s">
        <v>119</v>
      </c>
      <c r="I29" t="s">
        <v>120</v>
      </c>
    </row>
    <row r="30" spans="1:9" x14ac:dyDescent="0.2">
      <c r="A30">
        <v>2</v>
      </c>
      <c r="B30" t="s">
        <v>121</v>
      </c>
      <c r="C30">
        <v>8.3682333333333343</v>
      </c>
      <c r="D30">
        <v>28.650875000001058</v>
      </c>
      <c r="E30">
        <v>1116</v>
      </c>
      <c r="F30">
        <v>1.232943597688977E-2</v>
      </c>
      <c r="G30">
        <v>2.0105154706457212E-2</v>
      </c>
      <c r="H30" t="s">
        <v>122</v>
      </c>
      <c r="I30" t="s">
        <v>123</v>
      </c>
    </row>
    <row r="31" spans="1:9" x14ac:dyDescent="0.2">
      <c r="A31">
        <v>10</v>
      </c>
      <c r="B31" t="s">
        <v>124</v>
      </c>
      <c r="C31">
        <v>8.4311833333333333</v>
      </c>
      <c r="D31">
        <v>5.2575999999998597</v>
      </c>
      <c r="E31">
        <v>271</v>
      </c>
      <c r="F31">
        <v>2.2625222647507815E-3</v>
      </c>
      <c r="G31">
        <v>4.8821657038081584E-3</v>
      </c>
      <c r="H31" t="s">
        <v>23</v>
      </c>
      <c r="I31" t="s">
        <v>125</v>
      </c>
    </row>
    <row r="32" spans="1:9" x14ac:dyDescent="0.2">
      <c r="A32">
        <v>3</v>
      </c>
      <c r="B32" t="s">
        <v>126</v>
      </c>
      <c r="C32">
        <v>8.4655166666666677</v>
      </c>
      <c r="D32">
        <v>32.118574999999616</v>
      </c>
      <c r="E32">
        <v>1258</v>
      </c>
      <c r="F32">
        <v>1.3821704018862008E-2</v>
      </c>
      <c r="G32">
        <v>2.2663337473766285E-2</v>
      </c>
      <c r="H32" t="s">
        <v>23</v>
      </c>
      <c r="I32" t="s">
        <v>127</v>
      </c>
    </row>
    <row r="33" spans="1:9" x14ac:dyDescent="0.2">
      <c r="A33">
        <v>13</v>
      </c>
      <c r="B33" t="s">
        <v>128</v>
      </c>
      <c r="C33">
        <v>8.5513333333333339</v>
      </c>
      <c r="D33">
        <v>115.77995000000122</v>
      </c>
      <c r="E33">
        <v>4547.4999999999991</v>
      </c>
      <c r="F33">
        <v>4.9824009944982879E-2</v>
      </c>
      <c r="G33">
        <v>8.1924902354492971E-2</v>
      </c>
      <c r="H33" t="s">
        <v>129</v>
      </c>
      <c r="I33" t="s">
        <v>130</v>
      </c>
    </row>
    <row r="34" spans="1:9" x14ac:dyDescent="0.2">
      <c r="A34">
        <v>5</v>
      </c>
      <c r="B34" t="s">
        <v>124</v>
      </c>
      <c r="C34">
        <v>8.631450000000001</v>
      </c>
      <c r="D34">
        <v>3.436066666666596</v>
      </c>
      <c r="E34">
        <v>220.49016751638715</v>
      </c>
      <c r="F34">
        <v>1.4786551537776516E-3</v>
      </c>
      <c r="G34">
        <v>3.9722123021233248E-3</v>
      </c>
      <c r="H34" t="s">
        <v>23</v>
      </c>
      <c r="I34" t="s">
        <v>125</v>
      </c>
    </row>
    <row r="35" spans="1:9" x14ac:dyDescent="0.2">
      <c r="A35">
        <v>14</v>
      </c>
      <c r="B35" t="s">
        <v>131</v>
      </c>
      <c r="C35">
        <v>8.6943833333333327</v>
      </c>
      <c r="D35">
        <v>11.191122661074436</v>
      </c>
      <c r="E35">
        <v>277.99021321216264</v>
      </c>
      <c r="F35">
        <v>4.815916803910263E-3</v>
      </c>
      <c r="G35">
        <v>5.0080969923938668E-3</v>
      </c>
      <c r="H35" t="s">
        <v>23</v>
      </c>
      <c r="I35" t="s">
        <v>132</v>
      </c>
    </row>
    <row r="36" spans="1:9" x14ac:dyDescent="0.2">
      <c r="A36">
        <v>11</v>
      </c>
      <c r="B36" t="s">
        <v>133</v>
      </c>
      <c r="C36">
        <v>8.7802166666666661</v>
      </c>
      <c r="D36">
        <v>2.1280916666667773</v>
      </c>
      <c r="E36">
        <v>193</v>
      </c>
      <c r="F36">
        <v>9.1578948137254835E-4</v>
      </c>
      <c r="G36">
        <v>3.4769667189482453E-3</v>
      </c>
      <c r="H36" t="s">
        <v>23</v>
      </c>
      <c r="I36" t="s">
        <v>134</v>
      </c>
    </row>
    <row r="37" spans="1:9" x14ac:dyDescent="0.2">
      <c r="A37">
        <v>2</v>
      </c>
      <c r="B37" t="s">
        <v>135</v>
      </c>
      <c r="C37">
        <v>8.7916666666666661</v>
      </c>
      <c r="D37">
        <v>12.876216666666732</v>
      </c>
      <c r="E37">
        <v>481</v>
      </c>
      <c r="F37">
        <v>5.5410694792470613E-3</v>
      </c>
      <c r="G37">
        <v>8.6653937399694611E-3</v>
      </c>
      <c r="H37" t="s">
        <v>23</v>
      </c>
      <c r="I37" t="s">
        <v>136</v>
      </c>
    </row>
    <row r="38" spans="1:9" x14ac:dyDescent="0.2">
      <c r="A38">
        <v>7</v>
      </c>
      <c r="B38" t="s">
        <v>137</v>
      </c>
      <c r="C38">
        <v>8.9690499999999993</v>
      </c>
      <c r="D38">
        <v>3.4974000000000292</v>
      </c>
      <c r="E38">
        <v>235.0064065230041</v>
      </c>
      <c r="F38">
        <v>1.5050489517535871E-3</v>
      </c>
      <c r="G38">
        <v>4.2337277420730944E-3</v>
      </c>
      <c r="H38" t="s">
        <v>23</v>
      </c>
      <c r="I38" t="s">
        <v>138</v>
      </c>
    </row>
    <row r="39" spans="1:9" x14ac:dyDescent="0.2">
      <c r="A39">
        <v>6</v>
      </c>
      <c r="B39" t="s">
        <v>139</v>
      </c>
      <c r="C39">
        <v>9.0033666666666665</v>
      </c>
      <c r="D39">
        <v>3.2350999999999104</v>
      </c>
      <c r="E39">
        <v>251.27021121631532</v>
      </c>
      <c r="F39">
        <v>1.3921724320403309E-3</v>
      </c>
      <c r="G39">
        <v>4.5267262272654122E-3</v>
      </c>
      <c r="H39" t="s">
        <v>23</v>
      </c>
      <c r="I39" t="s">
        <v>140</v>
      </c>
    </row>
    <row r="40" spans="1:9" x14ac:dyDescent="0.2">
      <c r="A40">
        <v>7</v>
      </c>
      <c r="B40" t="s">
        <v>141</v>
      </c>
      <c r="C40">
        <v>9.0720333333333336</v>
      </c>
      <c r="D40">
        <v>14.297133333333385</v>
      </c>
      <c r="E40">
        <v>311.92906178489693</v>
      </c>
      <c r="F40">
        <v>6.1525377527347457E-3</v>
      </c>
      <c r="G40">
        <v>5.6195179611338731E-3</v>
      </c>
      <c r="H40" t="s">
        <v>23</v>
      </c>
      <c r="I40" t="s">
        <v>142</v>
      </c>
    </row>
    <row r="41" spans="1:9" x14ac:dyDescent="0.2">
      <c r="A41">
        <v>9</v>
      </c>
      <c r="B41" t="s">
        <v>143</v>
      </c>
      <c r="C41">
        <v>9.1635833333333334</v>
      </c>
      <c r="D41">
        <v>10.590824999999988</v>
      </c>
      <c r="E41">
        <v>297.22697736948243</v>
      </c>
      <c r="F41">
        <v>4.557588512739616E-3</v>
      </c>
      <c r="G41">
        <v>5.3546544470843196E-3</v>
      </c>
      <c r="H41" t="s">
        <v>23</v>
      </c>
      <c r="I41" t="s">
        <v>144</v>
      </c>
    </row>
    <row r="42" spans="1:9" x14ac:dyDescent="0.2">
      <c r="A42">
        <v>12</v>
      </c>
      <c r="B42" t="s">
        <v>145</v>
      </c>
      <c r="C42">
        <v>9.2837499999999995</v>
      </c>
      <c r="D42">
        <v>2.7386250000002423</v>
      </c>
      <c r="E42">
        <v>312.32718446601984</v>
      </c>
      <c r="F42">
        <v>1.1785225268761074E-3</v>
      </c>
      <c r="G42">
        <v>5.6266902891769967E-3</v>
      </c>
      <c r="H42" t="s">
        <v>146</v>
      </c>
      <c r="I42" t="s">
        <v>147</v>
      </c>
    </row>
    <row r="43" spans="1:9" x14ac:dyDescent="0.2">
      <c r="A43">
        <v>6</v>
      </c>
      <c r="B43" t="s">
        <v>148</v>
      </c>
      <c r="C43">
        <v>9.3009166666666676</v>
      </c>
      <c r="D43">
        <v>1.4423000000001238</v>
      </c>
      <c r="E43">
        <v>48</v>
      </c>
      <c r="F43">
        <v>6.2067024164075225E-4</v>
      </c>
      <c r="G43">
        <v>8.647378368368693E-4</v>
      </c>
      <c r="H43" t="s">
        <v>149</v>
      </c>
      <c r="I43" t="s">
        <v>150</v>
      </c>
    </row>
    <row r="44" spans="1:9" x14ac:dyDescent="0.2">
      <c r="A44">
        <v>9</v>
      </c>
      <c r="B44" t="s">
        <v>145</v>
      </c>
      <c r="C44">
        <v>9.43825</v>
      </c>
      <c r="D44">
        <v>13.125274999999888</v>
      </c>
      <c r="E44">
        <v>297.4119259766963</v>
      </c>
      <c r="F44">
        <v>5.648247664043927E-3</v>
      </c>
      <c r="G44">
        <v>5.3579863649703225E-3</v>
      </c>
      <c r="H44" t="s">
        <v>146</v>
      </c>
      <c r="I44" t="s">
        <v>147</v>
      </c>
    </row>
    <row r="45" spans="1:9" x14ac:dyDescent="0.2">
      <c r="A45">
        <v>10</v>
      </c>
      <c r="B45" t="s">
        <v>145</v>
      </c>
      <c r="C45">
        <v>9.43825</v>
      </c>
      <c r="D45">
        <v>13.125274999999888</v>
      </c>
      <c r="E45">
        <v>297.4119259766963</v>
      </c>
      <c r="F45">
        <v>5.648247664043927E-3</v>
      </c>
      <c r="G45">
        <v>5.3579863649703225E-3</v>
      </c>
      <c r="H45" t="s">
        <v>146</v>
      </c>
      <c r="I45" t="s">
        <v>147</v>
      </c>
    </row>
    <row r="46" spans="1:9" x14ac:dyDescent="0.2">
      <c r="A46">
        <v>18</v>
      </c>
      <c r="B46" t="s">
        <v>151</v>
      </c>
      <c r="C46">
        <v>9.5984666666666669</v>
      </c>
      <c r="D46">
        <v>5.5328999999998771</v>
      </c>
      <c r="E46">
        <v>325.88639200998847</v>
      </c>
      <c r="F46">
        <v>2.380993122078449E-3</v>
      </c>
      <c r="G46">
        <v>5.8709644516935309E-3</v>
      </c>
      <c r="H46" t="s">
        <v>23</v>
      </c>
      <c r="I46" t="s">
        <v>152</v>
      </c>
    </row>
    <row r="47" spans="1:9" x14ac:dyDescent="0.2">
      <c r="A47">
        <v>11</v>
      </c>
      <c r="B47" t="s">
        <v>153</v>
      </c>
      <c r="C47">
        <v>9.7300666666666675</v>
      </c>
      <c r="D47">
        <v>1256.9901083333643</v>
      </c>
      <c r="E47">
        <v>47433.953592233011</v>
      </c>
      <c r="F47">
        <v>0.54092515723444334</v>
      </c>
      <c r="G47">
        <v>0.85454030045766705</v>
      </c>
      <c r="H47" t="s">
        <v>154</v>
      </c>
      <c r="I47" t="s">
        <v>155</v>
      </c>
    </row>
    <row r="48" spans="1:9" x14ac:dyDescent="0.2">
      <c r="A48">
        <v>7</v>
      </c>
      <c r="B48" t="s">
        <v>156</v>
      </c>
      <c r="C48">
        <v>9.8788333333333327</v>
      </c>
      <c r="D48">
        <v>127.47655000000216</v>
      </c>
      <c r="E48">
        <v>4843.7430818526236</v>
      </c>
      <c r="F48">
        <v>5.4857450663540176E-2</v>
      </c>
      <c r="G48">
        <v>8.726183155822477E-2</v>
      </c>
      <c r="H48" t="s">
        <v>157</v>
      </c>
      <c r="I48" t="s">
        <v>158</v>
      </c>
    </row>
    <row r="49" spans="1:9" x14ac:dyDescent="0.2">
      <c r="A49">
        <v>5</v>
      </c>
      <c r="B49" t="s">
        <v>159</v>
      </c>
      <c r="C49">
        <v>9.9474999999999998</v>
      </c>
      <c r="D49">
        <v>10.310658333333095</v>
      </c>
      <c r="E49">
        <v>361.71599184386378</v>
      </c>
      <c r="F49">
        <v>4.4370233649202928E-3</v>
      </c>
      <c r="G49">
        <v>6.5164480070076126E-3</v>
      </c>
      <c r="H49" t="s">
        <v>23</v>
      </c>
      <c r="I49" t="s">
        <v>160</v>
      </c>
    </row>
    <row r="50" spans="1:9" x14ac:dyDescent="0.2">
      <c r="A50">
        <v>8</v>
      </c>
      <c r="B50" t="s">
        <v>161</v>
      </c>
      <c r="C50">
        <v>9.9474999999999998</v>
      </c>
      <c r="D50">
        <v>10.310658333333095</v>
      </c>
      <c r="E50">
        <v>361.71599184386378</v>
      </c>
      <c r="F50">
        <v>4.4370233649202928E-3</v>
      </c>
      <c r="G50">
        <v>6.5164480070076126E-3</v>
      </c>
      <c r="H50" t="s">
        <v>162</v>
      </c>
      <c r="I50" t="s">
        <v>163</v>
      </c>
    </row>
    <row r="51" spans="1:9" x14ac:dyDescent="0.2">
      <c r="A51">
        <v>4</v>
      </c>
      <c r="B51" t="s">
        <v>164</v>
      </c>
      <c r="C51">
        <v>10.021883333333333</v>
      </c>
      <c r="D51">
        <v>65.382216666665585</v>
      </c>
      <c r="E51">
        <v>2445</v>
      </c>
      <c r="F51">
        <v>2.8136168770369452E-2</v>
      </c>
      <c r="G51">
        <v>4.4047583563878029E-2</v>
      </c>
      <c r="H51" t="s">
        <v>23</v>
      </c>
      <c r="I51" t="s">
        <v>165</v>
      </c>
    </row>
    <row r="52" spans="1:9" x14ac:dyDescent="0.2">
      <c r="A52">
        <v>7</v>
      </c>
      <c r="B52" t="s">
        <v>166</v>
      </c>
      <c r="C52">
        <v>10.107716666666667</v>
      </c>
      <c r="D52">
        <v>9.1216666666664992</v>
      </c>
      <c r="E52">
        <v>346.86724927174396</v>
      </c>
      <c r="F52">
        <v>3.9253602261428312E-3</v>
      </c>
      <c r="G52">
        <v>6.2489423917667288E-3</v>
      </c>
      <c r="H52" t="s">
        <v>23</v>
      </c>
      <c r="I52" t="s">
        <v>167</v>
      </c>
    </row>
    <row r="53" spans="1:9" x14ac:dyDescent="0.2">
      <c r="A53">
        <v>8</v>
      </c>
      <c r="B53" t="s">
        <v>168</v>
      </c>
      <c r="C53">
        <v>10.164933333333334</v>
      </c>
      <c r="D53">
        <v>9.5557488095235712</v>
      </c>
      <c r="E53">
        <v>420.46962552011098</v>
      </c>
      <c r="F53">
        <v>4.1121603845696575E-3</v>
      </c>
      <c r="G53">
        <v>7.5749165505806107E-3</v>
      </c>
      <c r="H53" t="s">
        <v>23</v>
      </c>
      <c r="I53" t="s">
        <v>169</v>
      </c>
    </row>
    <row r="54" spans="1:9" x14ac:dyDescent="0.2">
      <c r="A54">
        <v>7</v>
      </c>
      <c r="B54" t="s">
        <v>170</v>
      </c>
      <c r="C54">
        <v>10.245050000000001</v>
      </c>
      <c r="D54">
        <v>3.5819249999999236</v>
      </c>
      <c r="E54">
        <v>382.34563106796156</v>
      </c>
      <c r="F54">
        <v>1.5414229045890683E-3</v>
      </c>
      <c r="G54">
        <v>6.8880986236195168E-3</v>
      </c>
      <c r="H54" t="s">
        <v>23</v>
      </c>
      <c r="I54" t="s">
        <v>171</v>
      </c>
    </row>
    <row r="55" spans="1:9" x14ac:dyDescent="0.2">
      <c r="A55">
        <v>6</v>
      </c>
      <c r="B55" t="s">
        <v>172</v>
      </c>
      <c r="C55">
        <v>10.342316666666667</v>
      </c>
      <c r="D55">
        <v>0.8331833333332419</v>
      </c>
      <c r="E55">
        <v>233.80011655011651</v>
      </c>
      <c r="F55">
        <v>3.5854683549257872E-4</v>
      </c>
      <c r="G55">
        <v>4.2119959799532432E-3</v>
      </c>
      <c r="H55" t="s">
        <v>23</v>
      </c>
      <c r="I55" t="s">
        <v>173</v>
      </c>
    </row>
    <row r="56" spans="1:9" x14ac:dyDescent="0.2">
      <c r="A56">
        <v>7</v>
      </c>
      <c r="B56" t="s">
        <v>170</v>
      </c>
      <c r="C56">
        <v>10.445316666666667</v>
      </c>
      <c r="D56">
        <v>3.2908166666666183</v>
      </c>
      <c r="E56">
        <v>362.21490972626725</v>
      </c>
      <c r="F56">
        <v>1.4161491892776879E-3</v>
      </c>
      <c r="G56">
        <v>6.5254361980573794E-3</v>
      </c>
      <c r="H56" t="s">
        <v>23</v>
      </c>
      <c r="I56" t="s">
        <v>171</v>
      </c>
    </row>
    <row r="57" spans="1:9" x14ac:dyDescent="0.2">
      <c r="A57">
        <v>4</v>
      </c>
      <c r="B57" t="s">
        <v>174</v>
      </c>
      <c r="C57">
        <v>10.531133333333333</v>
      </c>
      <c r="D57">
        <v>29.404608333333147</v>
      </c>
      <c r="E57">
        <v>1034</v>
      </c>
      <c r="F57">
        <v>1.2653792802884279E-2</v>
      </c>
      <c r="G57">
        <v>1.8627894235194228E-2</v>
      </c>
      <c r="H57" t="s">
        <v>23</v>
      </c>
      <c r="I57" t="s">
        <v>175</v>
      </c>
    </row>
    <row r="58" spans="1:9" x14ac:dyDescent="0.2">
      <c r="A58">
        <v>7</v>
      </c>
      <c r="B58" t="s">
        <v>176</v>
      </c>
      <c r="C58">
        <v>10.571200000000001</v>
      </c>
      <c r="D58">
        <v>9.3187249999997945</v>
      </c>
      <c r="E58">
        <v>447.61034231609165</v>
      </c>
      <c r="F58">
        <v>4.0101610604819354E-3</v>
      </c>
      <c r="G58">
        <v>8.0638666491714105E-3</v>
      </c>
      <c r="H58" t="s">
        <v>23</v>
      </c>
      <c r="I58" t="s">
        <v>177</v>
      </c>
    </row>
    <row r="59" spans="1:9" x14ac:dyDescent="0.2">
      <c r="A59">
        <v>6</v>
      </c>
      <c r="B59" t="s">
        <v>178</v>
      </c>
      <c r="C59">
        <v>10.634133333333333</v>
      </c>
      <c r="D59">
        <v>2.1801583333334165</v>
      </c>
      <c r="E59">
        <v>144.21095571095725</v>
      </c>
      <c r="F59">
        <v>9.3819552074120164E-4</v>
      </c>
      <c r="G59">
        <v>2.598013956034807E-3</v>
      </c>
      <c r="H59" t="s">
        <v>179</v>
      </c>
      <c r="I59" t="s">
        <v>180</v>
      </c>
    </row>
    <row r="60" spans="1:9" x14ac:dyDescent="0.2">
      <c r="A60">
        <v>9</v>
      </c>
      <c r="B60" t="s">
        <v>181</v>
      </c>
      <c r="C60">
        <v>10.748583333333334</v>
      </c>
      <c r="D60">
        <v>995.88656666666623</v>
      </c>
      <c r="E60">
        <v>39484.178252427191</v>
      </c>
      <c r="F60">
        <v>0.42856351381801688</v>
      </c>
      <c r="G60">
        <v>0.7113221435684427</v>
      </c>
      <c r="H60" t="s">
        <v>182</v>
      </c>
      <c r="I60" t="s">
        <v>183</v>
      </c>
    </row>
    <row r="61" spans="1:9" x14ac:dyDescent="0.2">
      <c r="A61">
        <v>2</v>
      </c>
      <c r="B61" t="s">
        <v>184</v>
      </c>
      <c r="C61">
        <v>10.811516666666668</v>
      </c>
      <c r="D61">
        <v>47.694158333335622</v>
      </c>
      <c r="E61">
        <v>1972</v>
      </c>
      <c r="F61">
        <v>2.0524401842613307E-2</v>
      </c>
      <c r="G61">
        <v>3.5526312796714712E-2</v>
      </c>
      <c r="H61" t="s">
        <v>185</v>
      </c>
      <c r="I61" t="s">
        <v>186</v>
      </c>
    </row>
    <row r="62" spans="1:9" x14ac:dyDescent="0.2">
      <c r="A62">
        <v>9</v>
      </c>
      <c r="B62" t="s">
        <v>187</v>
      </c>
      <c r="C62">
        <v>10.914516666666668</v>
      </c>
      <c r="D62">
        <v>12.216466666666847</v>
      </c>
      <c r="E62">
        <v>738.63453389830488</v>
      </c>
      <c r="F62">
        <v>5.257156845313497E-3</v>
      </c>
      <c r="G62">
        <v>1.3306775605338115E-2</v>
      </c>
      <c r="H62" t="s">
        <v>23</v>
      </c>
      <c r="I62" t="s">
        <v>188</v>
      </c>
    </row>
    <row r="63" spans="1:9" x14ac:dyDescent="0.2">
      <c r="A63">
        <v>7</v>
      </c>
      <c r="B63" t="s">
        <v>189</v>
      </c>
      <c r="C63">
        <v>10.914516666666668</v>
      </c>
      <c r="D63">
        <v>12.216466666666847</v>
      </c>
      <c r="E63">
        <v>738.63453389830488</v>
      </c>
      <c r="F63">
        <v>5.257156845313497E-3</v>
      </c>
      <c r="G63">
        <v>1.3306775605338115E-2</v>
      </c>
      <c r="H63" t="s">
        <v>190</v>
      </c>
      <c r="I63" t="s">
        <v>191</v>
      </c>
    </row>
    <row r="64" spans="1:9" x14ac:dyDescent="0.2">
      <c r="A64">
        <v>20</v>
      </c>
      <c r="B64" t="s">
        <v>192</v>
      </c>
      <c r="C64">
        <v>11.051833333333333</v>
      </c>
      <c r="D64">
        <v>5344.0505639872017</v>
      </c>
      <c r="E64">
        <v>200814.19247143174</v>
      </c>
      <c r="F64">
        <v>2.2997248525896485</v>
      </c>
      <c r="G64">
        <v>3.6177423000810132</v>
      </c>
      <c r="H64" t="s">
        <v>193</v>
      </c>
      <c r="I64" t="s">
        <v>183</v>
      </c>
    </row>
    <row r="65" spans="1:9" x14ac:dyDescent="0.2">
      <c r="A65">
        <v>13</v>
      </c>
      <c r="B65" t="s">
        <v>194</v>
      </c>
      <c r="C65">
        <v>11.1205</v>
      </c>
      <c r="D65">
        <v>80.674186012769212</v>
      </c>
      <c r="E65">
        <v>2482.3974904772317</v>
      </c>
      <c r="F65">
        <v>3.4716817948216155E-2</v>
      </c>
      <c r="G65">
        <v>4.4721313251761548E-2</v>
      </c>
      <c r="H65" t="s">
        <v>195</v>
      </c>
      <c r="I65" t="s">
        <v>196</v>
      </c>
    </row>
    <row r="66" spans="1:9" x14ac:dyDescent="0.2">
      <c r="A66">
        <v>3</v>
      </c>
      <c r="B66" t="s">
        <v>197</v>
      </c>
      <c r="C66">
        <v>11.172000000000001</v>
      </c>
      <c r="D66">
        <v>6.2500499999998311</v>
      </c>
      <c r="E66">
        <v>267.79757281553282</v>
      </c>
      <c r="F66">
        <v>2.689606908248177E-3</v>
      </c>
      <c r="G66">
        <v>4.8244727880555798E-3</v>
      </c>
      <c r="H66" t="s">
        <v>23</v>
      </c>
      <c r="I66" t="s">
        <v>198</v>
      </c>
    </row>
    <row r="67" spans="1:9" x14ac:dyDescent="0.2">
      <c r="A67">
        <v>4</v>
      </c>
      <c r="B67" t="s">
        <v>199</v>
      </c>
      <c r="C67">
        <v>11.206333333333333</v>
      </c>
      <c r="D67">
        <v>12.542900000000174</v>
      </c>
      <c r="E67">
        <v>372.6696766676356</v>
      </c>
      <c r="F67">
        <v>5.3976320972580118E-3</v>
      </c>
      <c r="G67">
        <v>6.7137827095055565E-3</v>
      </c>
      <c r="H67" t="s">
        <v>23</v>
      </c>
      <c r="I67" t="s">
        <v>200</v>
      </c>
    </row>
    <row r="68" spans="1:9" x14ac:dyDescent="0.2">
      <c r="A68">
        <v>4</v>
      </c>
      <c r="B68" t="s">
        <v>201</v>
      </c>
      <c r="C68">
        <v>11.297883333333333</v>
      </c>
      <c r="D68">
        <v>12.417041666666499</v>
      </c>
      <c r="E68">
        <v>538.00116516166577</v>
      </c>
      <c r="F68">
        <v>5.3434710196994546E-3</v>
      </c>
      <c r="G68">
        <v>9.6922909120336284E-3</v>
      </c>
      <c r="H68" t="s">
        <v>23</v>
      </c>
      <c r="I68" t="s">
        <v>202</v>
      </c>
    </row>
    <row r="69" spans="1:9" x14ac:dyDescent="0.2">
      <c r="A69">
        <v>6</v>
      </c>
      <c r="B69" t="s">
        <v>203</v>
      </c>
      <c r="C69">
        <v>11.337933333333334</v>
      </c>
      <c r="D69">
        <v>31.248108333333256</v>
      </c>
      <c r="E69">
        <v>1290</v>
      </c>
      <c r="F69">
        <v>1.3447112909980373E-2</v>
      </c>
      <c r="G69">
        <v>2.3239829364990864E-2</v>
      </c>
      <c r="H69" t="s">
        <v>204</v>
      </c>
      <c r="I69" t="s">
        <v>205</v>
      </c>
    </row>
    <row r="70" spans="1:9" x14ac:dyDescent="0.2">
      <c r="A70">
        <v>2</v>
      </c>
      <c r="B70" t="s">
        <v>206</v>
      </c>
      <c r="C70">
        <v>11.70415</v>
      </c>
      <c r="D70">
        <v>145.04707499999759</v>
      </c>
      <c r="E70">
        <v>5117</v>
      </c>
      <c r="F70">
        <v>6.241863904147895E-2</v>
      </c>
      <c r="G70">
        <v>9.2184656481130431E-2</v>
      </c>
      <c r="H70" t="s">
        <v>207</v>
      </c>
      <c r="I70" t="s">
        <v>208</v>
      </c>
    </row>
    <row r="71" spans="1:9" x14ac:dyDescent="0.2">
      <c r="A71">
        <v>3</v>
      </c>
      <c r="B71" t="s">
        <v>209</v>
      </c>
      <c r="C71">
        <v>11.9788</v>
      </c>
      <c r="D71">
        <v>16209.652768905296</v>
      </c>
      <c r="E71">
        <v>183384.64265172186</v>
      </c>
      <c r="F71">
        <v>6.9755592463345177</v>
      </c>
      <c r="G71">
        <v>3.3037424832448385</v>
      </c>
      <c r="H71" t="s">
        <v>210</v>
      </c>
      <c r="I71" t="s">
        <v>211</v>
      </c>
    </row>
    <row r="72" spans="1:9" x14ac:dyDescent="0.2">
      <c r="A72">
        <v>4</v>
      </c>
      <c r="B72" t="s">
        <v>212</v>
      </c>
      <c r="C72">
        <v>12.070349999999999</v>
      </c>
      <c r="D72">
        <v>6.1664083333341111</v>
      </c>
      <c r="E72">
        <v>695.70485436892204</v>
      </c>
      <c r="F72">
        <v>2.6536130834817324E-3</v>
      </c>
      <c r="G72">
        <v>1.2533381475914394E-2</v>
      </c>
      <c r="H72" t="s">
        <v>213</v>
      </c>
      <c r="I72" t="s">
        <v>214</v>
      </c>
    </row>
    <row r="73" spans="1:9" x14ac:dyDescent="0.2">
      <c r="A73">
        <v>4</v>
      </c>
      <c r="B73" t="s">
        <v>215</v>
      </c>
      <c r="C73">
        <v>12.150466666666667</v>
      </c>
      <c r="D73">
        <v>56.85670833333397</v>
      </c>
      <c r="E73">
        <v>2216</v>
      </c>
      <c r="F73">
        <v>2.4467355543330193E-2</v>
      </c>
      <c r="G73">
        <v>3.9922063467302135E-2</v>
      </c>
      <c r="H73" t="s">
        <v>216</v>
      </c>
      <c r="I73" t="s">
        <v>217</v>
      </c>
    </row>
    <row r="74" spans="1:9" x14ac:dyDescent="0.2">
      <c r="A74">
        <v>4</v>
      </c>
      <c r="B74" t="s">
        <v>218</v>
      </c>
      <c r="C74">
        <v>12.179066666666667</v>
      </c>
      <c r="D74">
        <v>163.49050833333382</v>
      </c>
      <c r="E74">
        <v>6554.745686757793</v>
      </c>
      <c r="F74">
        <v>7.0355469259662351E-2</v>
      </c>
      <c r="G74">
        <v>0.1180861792954736</v>
      </c>
      <c r="H74" t="s">
        <v>219</v>
      </c>
      <c r="I74" t="s">
        <v>220</v>
      </c>
    </row>
    <row r="75" spans="1:9" x14ac:dyDescent="0.2">
      <c r="A75">
        <v>5</v>
      </c>
      <c r="B75" t="s">
        <v>212</v>
      </c>
      <c r="C75">
        <v>12.270616666666667</v>
      </c>
      <c r="D75">
        <v>3.2006722222221491</v>
      </c>
      <c r="E75">
        <v>299.18770226537163</v>
      </c>
      <c r="F75">
        <v>1.3773570003323126E-3</v>
      </c>
      <c r="G75">
        <v>5.389977634690641E-3</v>
      </c>
      <c r="H75" t="s">
        <v>213</v>
      </c>
      <c r="I75" t="s">
        <v>214</v>
      </c>
    </row>
    <row r="76" spans="1:9" x14ac:dyDescent="0.2">
      <c r="A76">
        <v>5</v>
      </c>
      <c r="B76" t="s">
        <v>221</v>
      </c>
      <c r="C76">
        <v>12.379333333333333</v>
      </c>
      <c r="D76">
        <v>1.9857499999999639</v>
      </c>
      <c r="E76">
        <v>193.95484340859286</v>
      </c>
      <c r="F76">
        <v>8.545350706080536E-4</v>
      </c>
      <c r="G76">
        <v>3.4941685777745901E-3</v>
      </c>
      <c r="H76" t="s">
        <v>23</v>
      </c>
      <c r="I76" t="s">
        <v>222</v>
      </c>
    </row>
    <row r="77" spans="1:9" x14ac:dyDescent="0.2">
      <c r="A77">
        <v>5</v>
      </c>
      <c r="B77" t="s">
        <v>223</v>
      </c>
      <c r="C77">
        <v>12.379333333333333</v>
      </c>
      <c r="D77">
        <v>1.9857499999999639</v>
      </c>
      <c r="E77">
        <v>193.95484340859286</v>
      </c>
      <c r="F77">
        <v>8.545350706080536E-4</v>
      </c>
      <c r="G77">
        <v>3.4941685777745901E-3</v>
      </c>
      <c r="H77" t="s">
        <v>23</v>
      </c>
      <c r="I77" t="s">
        <v>171</v>
      </c>
    </row>
    <row r="78" spans="1:9" x14ac:dyDescent="0.2">
      <c r="A78">
        <v>9</v>
      </c>
      <c r="B78" t="s">
        <v>224</v>
      </c>
      <c r="C78">
        <v>12.470883333333333</v>
      </c>
      <c r="D78">
        <v>7.248883333333147</v>
      </c>
      <c r="E78">
        <v>350.58182877111176</v>
      </c>
      <c r="F78">
        <v>3.1194385149588295E-3</v>
      </c>
      <c r="G78">
        <v>6.3158619217884354E-3</v>
      </c>
      <c r="H78" t="s">
        <v>225</v>
      </c>
      <c r="I78" t="s">
        <v>226</v>
      </c>
    </row>
    <row r="79" spans="1:9" x14ac:dyDescent="0.2">
      <c r="A79">
        <v>7</v>
      </c>
      <c r="B79" t="s">
        <v>227</v>
      </c>
      <c r="C79">
        <v>12.533833333333334</v>
      </c>
      <c r="D79">
        <v>37.044516666665913</v>
      </c>
      <c r="E79">
        <v>1506</v>
      </c>
      <c r="F79">
        <v>1.5941502538280822E-2</v>
      </c>
      <c r="G79">
        <v>2.7131149630756777E-2</v>
      </c>
      <c r="H79" t="s">
        <v>228</v>
      </c>
      <c r="I79" t="s">
        <v>196</v>
      </c>
    </row>
    <row r="80" spans="1:9" x14ac:dyDescent="0.2">
      <c r="A80">
        <v>12</v>
      </c>
      <c r="B80" t="s">
        <v>229</v>
      </c>
      <c r="C80">
        <v>12.72265</v>
      </c>
      <c r="D80">
        <v>26.502458333332804</v>
      </c>
      <c r="E80">
        <v>790.0004854368932</v>
      </c>
      <c r="F80">
        <v>1.1404899963823217E-2</v>
      </c>
      <c r="G80">
        <v>1.4232152309932827E-2</v>
      </c>
      <c r="H80" t="s">
        <v>230</v>
      </c>
      <c r="I80" t="s">
        <v>231</v>
      </c>
    </row>
    <row r="81" spans="1:9" x14ac:dyDescent="0.2">
      <c r="A81">
        <v>17</v>
      </c>
      <c r="B81" t="s">
        <v>232</v>
      </c>
      <c r="C81">
        <v>12.779883333333334</v>
      </c>
      <c r="D81">
        <v>105.7368999999982</v>
      </c>
      <c r="E81">
        <v>3667.6642718446597</v>
      </c>
      <c r="F81">
        <v>4.5502147454300292E-2</v>
      </c>
      <c r="G81">
        <v>6.6074334764142137E-2</v>
      </c>
      <c r="H81" t="s">
        <v>233</v>
      </c>
      <c r="I81" t="s">
        <v>234</v>
      </c>
    </row>
    <row r="82" spans="1:9" x14ac:dyDescent="0.2">
      <c r="A82">
        <v>4</v>
      </c>
      <c r="B82" t="s">
        <v>235</v>
      </c>
      <c r="C82">
        <v>12.854266666666668</v>
      </c>
      <c r="D82">
        <v>3.4479666666666109</v>
      </c>
      <c r="E82">
        <v>276.2663755458521</v>
      </c>
      <c r="F82">
        <v>1.4837761243631984E-3</v>
      </c>
      <c r="G82">
        <v>4.977041416255882E-3</v>
      </c>
      <c r="H82" t="s">
        <v>236</v>
      </c>
      <c r="I82" t="s">
        <v>237</v>
      </c>
    </row>
    <row r="83" spans="1:9" x14ac:dyDescent="0.2">
      <c r="A83">
        <v>5</v>
      </c>
      <c r="B83" t="s">
        <v>238</v>
      </c>
      <c r="C83">
        <v>12.900033333333333</v>
      </c>
      <c r="D83">
        <v>5.7397999999998994</v>
      </c>
      <c r="E83">
        <v>192.03620474407114</v>
      </c>
      <c r="F83">
        <v>2.4700291568808303E-3</v>
      </c>
      <c r="G83">
        <v>3.4596035892656297E-3</v>
      </c>
      <c r="H83" t="s">
        <v>23</v>
      </c>
      <c r="I83" t="s">
        <v>239</v>
      </c>
    </row>
    <row r="84" spans="1:9" x14ac:dyDescent="0.2">
      <c r="A84">
        <v>9</v>
      </c>
      <c r="B84" t="s">
        <v>240</v>
      </c>
      <c r="C84">
        <v>12.945816666666667</v>
      </c>
      <c r="D84">
        <v>116.15959999999917</v>
      </c>
      <c r="E84">
        <v>3362</v>
      </c>
      <c r="F84">
        <v>4.9987386120007228E-2</v>
      </c>
      <c r="G84">
        <v>6.0567679321782392E-2</v>
      </c>
      <c r="H84" t="s">
        <v>241</v>
      </c>
      <c r="I84" t="s">
        <v>242</v>
      </c>
    </row>
    <row r="85" spans="1:9" x14ac:dyDescent="0.2">
      <c r="A85">
        <v>10</v>
      </c>
      <c r="B85" t="s">
        <v>243</v>
      </c>
      <c r="C85">
        <v>13.025916666666667</v>
      </c>
      <c r="D85">
        <v>199.29859873070041</v>
      </c>
      <c r="E85">
        <v>3195.9771241830067</v>
      </c>
      <c r="F85">
        <v>8.5764895952878395E-2</v>
      </c>
      <c r="G85">
        <v>5.757671551971108E-2</v>
      </c>
      <c r="H85" t="s">
        <v>244</v>
      </c>
      <c r="I85" t="s">
        <v>245</v>
      </c>
    </row>
    <row r="86" spans="1:9" x14ac:dyDescent="0.2">
      <c r="A86">
        <v>9</v>
      </c>
      <c r="B86" t="s">
        <v>246</v>
      </c>
      <c r="C86">
        <v>13.117466666666667</v>
      </c>
      <c r="D86">
        <v>38.314962568635416</v>
      </c>
      <c r="E86">
        <v>671.27320208919321</v>
      </c>
      <c r="F86">
        <v>1.6488218176474573E-2</v>
      </c>
      <c r="G86">
        <v>1.2093236181274324E-2</v>
      </c>
      <c r="H86" t="s">
        <v>247</v>
      </c>
      <c r="I86" t="s">
        <v>248</v>
      </c>
    </row>
    <row r="87" spans="1:9" x14ac:dyDescent="0.2">
      <c r="A87">
        <v>2</v>
      </c>
      <c r="B87" t="s">
        <v>249</v>
      </c>
      <c r="C87">
        <v>13.134633333333333</v>
      </c>
      <c r="D87">
        <v>2.9469583333332743</v>
      </c>
      <c r="E87">
        <v>112.97503121098543</v>
      </c>
      <c r="F87">
        <v>1.2681753732614815E-3</v>
      </c>
      <c r="G87">
        <v>2.035287168874278E-3</v>
      </c>
      <c r="H87" t="s">
        <v>23</v>
      </c>
      <c r="I87" t="s">
        <v>250</v>
      </c>
    </row>
    <row r="88" spans="1:9" x14ac:dyDescent="0.2">
      <c r="A88">
        <v>6</v>
      </c>
      <c r="B88" t="s">
        <v>251</v>
      </c>
      <c r="C88">
        <v>13.191850000000001</v>
      </c>
      <c r="D88">
        <v>2.6893166666666115</v>
      </c>
      <c r="E88">
        <v>191.01019912578846</v>
      </c>
      <c r="F88">
        <v>1.1573034911934582E-3</v>
      </c>
      <c r="G88">
        <v>3.4411197167877913E-3</v>
      </c>
      <c r="H88" t="s">
        <v>23</v>
      </c>
      <c r="I88" t="s">
        <v>252</v>
      </c>
    </row>
    <row r="89" spans="1:9" x14ac:dyDescent="0.2">
      <c r="A89">
        <v>7</v>
      </c>
      <c r="B89" t="s">
        <v>253</v>
      </c>
      <c r="C89">
        <v>13.312016666666667</v>
      </c>
      <c r="D89">
        <v>56.966249999999398</v>
      </c>
      <c r="E89">
        <v>1262</v>
      </c>
      <c r="F89">
        <v>2.4514495009959159E-2</v>
      </c>
      <c r="G89">
        <v>2.2735398960169358E-2</v>
      </c>
      <c r="H89" t="s">
        <v>254</v>
      </c>
      <c r="I89" t="s">
        <v>255</v>
      </c>
    </row>
    <row r="90" spans="1:9" x14ac:dyDescent="0.2">
      <c r="A90">
        <v>6</v>
      </c>
      <c r="B90" t="s">
        <v>256</v>
      </c>
      <c r="C90">
        <v>13.483683333333333</v>
      </c>
      <c r="D90">
        <v>10.306608333333159</v>
      </c>
      <c r="E90">
        <v>385</v>
      </c>
      <c r="F90">
        <v>4.4352805135865862E-3</v>
      </c>
      <c r="G90">
        <v>6.9359180662957225E-3</v>
      </c>
      <c r="H90" t="s">
        <v>257</v>
      </c>
      <c r="I90" t="s">
        <v>258</v>
      </c>
    </row>
    <row r="91" spans="1:9" x14ac:dyDescent="0.2">
      <c r="A91">
        <v>5</v>
      </c>
      <c r="B91" t="s">
        <v>259</v>
      </c>
      <c r="C91">
        <v>13.5924</v>
      </c>
      <c r="D91">
        <v>155.7315166666705</v>
      </c>
      <c r="E91">
        <v>5349.1159842384786</v>
      </c>
      <c r="F91">
        <v>6.7016513957273052E-2</v>
      </c>
      <c r="G91">
        <v>9.6366312191664638E-2</v>
      </c>
      <c r="H91" t="s">
        <v>260</v>
      </c>
      <c r="I91" t="s">
        <v>261</v>
      </c>
    </row>
    <row r="92" spans="1:9" x14ac:dyDescent="0.2">
      <c r="A92">
        <v>6</v>
      </c>
      <c r="B92" t="s">
        <v>262</v>
      </c>
      <c r="C92">
        <v>13.638166666666667</v>
      </c>
      <c r="D92">
        <v>48.865291666665733</v>
      </c>
      <c r="E92">
        <v>1876</v>
      </c>
      <c r="F92">
        <v>2.1028379939397251E-2</v>
      </c>
      <c r="G92">
        <v>3.3796837123040976E-2</v>
      </c>
      <c r="H92" t="s">
        <v>263</v>
      </c>
      <c r="I92" t="s">
        <v>264</v>
      </c>
    </row>
    <row r="93" spans="1:9" x14ac:dyDescent="0.2">
      <c r="A93">
        <v>19</v>
      </c>
      <c r="B93" t="s">
        <v>265</v>
      </c>
      <c r="C93">
        <v>13.798383333333334</v>
      </c>
      <c r="D93">
        <v>261.40735833333133</v>
      </c>
      <c r="E93">
        <v>7035</v>
      </c>
      <c r="F93">
        <v>0.11249238595535294</v>
      </c>
      <c r="G93">
        <v>0.12673813921140367</v>
      </c>
      <c r="H93" t="s">
        <v>266</v>
      </c>
      <c r="I93" t="s">
        <v>267</v>
      </c>
    </row>
    <row r="94" spans="1:9" x14ac:dyDescent="0.2">
      <c r="A94">
        <v>6</v>
      </c>
      <c r="B94" t="s">
        <v>268</v>
      </c>
      <c r="C94">
        <v>13.844166666666666</v>
      </c>
      <c r="D94">
        <v>50.681122915718831</v>
      </c>
      <c r="E94">
        <v>1355.12505688541</v>
      </c>
      <c r="F94">
        <v>2.1809793251557356E-2</v>
      </c>
      <c r="G94">
        <v>2.4413081465302685E-2</v>
      </c>
      <c r="H94" t="s">
        <v>23</v>
      </c>
      <c r="I94" t="s">
        <v>269</v>
      </c>
    </row>
    <row r="95" spans="1:9" x14ac:dyDescent="0.2">
      <c r="A95">
        <v>11</v>
      </c>
      <c r="B95" t="s">
        <v>270</v>
      </c>
      <c r="C95">
        <v>14.1646</v>
      </c>
      <c r="D95">
        <v>115.79590081990148</v>
      </c>
      <c r="E95">
        <v>2789.6641206550585</v>
      </c>
      <c r="F95">
        <v>4.9830874119732825E-2</v>
      </c>
      <c r="G95">
        <v>5.025683577493089E-2</v>
      </c>
      <c r="H95" t="s">
        <v>271</v>
      </c>
      <c r="I95" t="s">
        <v>242</v>
      </c>
    </row>
    <row r="96" spans="1:9" x14ac:dyDescent="0.2">
      <c r="A96">
        <v>8</v>
      </c>
      <c r="B96" t="s">
        <v>272</v>
      </c>
      <c r="C96">
        <v>14.250416666666666</v>
      </c>
      <c r="D96">
        <v>3.7142416666666112</v>
      </c>
      <c r="E96">
        <v>306</v>
      </c>
      <c r="F96">
        <v>1.5983632203854384E-3</v>
      </c>
      <c r="G96">
        <v>5.5127037098350422E-3</v>
      </c>
      <c r="H96" t="s">
        <v>23</v>
      </c>
      <c r="I96" t="s">
        <v>273</v>
      </c>
    </row>
    <row r="97" spans="1:9" x14ac:dyDescent="0.2">
      <c r="A97">
        <v>7</v>
      </c>
      <c r="B97" t="s">
        <v>272</v>
      </c>
      <c r="C97">
        <v>14.382033333333334</v>
      </c>
      <c r="D97">
        <v>7.4225583333335061</v>
      </c>
      <c r="E97">
        <v>231</v>
      </c>
      <c r="F97">
        <v>3.1941767138197958E-3</v>
      </c>
      <c r="G97">
        <v>4.1615508397774333E-3</v>
      </c>
      <c r="H97" t="s">
        <v>23</v>
      </c>
      <c r="I97" t="s">
        <v>273</v>
      </c>
    </row>
    <row r="98" spans="1:9" x14ac:dyDescent="0.2">
      <c r="A98">
        <v>19</v>
      </c>
      <c r="B98" t="s">
        <v>274</v>
      </c>
      <c r="C98">
        <v>14.502183333333333</v>
      </c>
      <c r="D98">
        <v>705.7744416666651</v>
      </c>
      <c r="E98">
        <v>26754.229514563111</v>
      </c>
      <c r="F98">
        <v>0.30371850048747029</v>
      </c>
      <c r="G98">
        <v>0.48198738659709228</v>
      </c>
      <c r="H98" t="s">
        <v>275</v>
      </c>
      <c r="I98" t="s">
        <v>231</v>
      </c>
    </row>
    <row r="99" spans="1:9" x14ac:dyDescent="0.2">
      <c r="A99">
        <v>2</v>
      </c>
      <c r="B99" t="s">
        <v>276</v>
      </c>
      <c r="C99">
        <v>14.788283333333334</v>
      </c>
      <c r="D99">
        <v>56.353208333334024</v>
      </c>
      <c r="E99">
        <v>2766</v>
      </c>
      <c r="F99">
        <v>2.425068254418573E-2</v>
      </c>
      <c r="G99">
        <v>4.9830517847724597E-2</v>
      </c>
      <c r="H99" t="s">
        <v>23</v>
      </c>
      <c r="I99" t="s">
        <v>277</v>
      </c>
    </row>
    <row r="100" spans="1:9" x14ac:dyDescent="0.2">
      <c r="A100">
        <v>4</v>
      </c>
      <c r="B100" t="s">
        <v>278</v>
      </c>
      <c r="C100">
        <v>14.897</v>
      </c>
      <c r="D100">
        <v>7.1261166666665918</v>
      </c>
      <c r="E100">
        <v>456</v>
      </c>
      <c r="F100">
        <v>3.0666078856408279E-3</v>
      </c>
      <c r="G100">
        <v>8.2150094499502582E-3</v>
      </c>
      <c r="H100" t="s">
        <v>23</v>
      </c>
      <c r="I100" t="s">
        <v>279</v>
      </c>
    </row>
    <row r="101" spans="1:9" x14ac:dyDescent="0.2">
      <c r="A101">
        <v>2</v>
      </c>
      <c r="B101" t="s">
        <v>280</v>
      </c>
      <c r="C101">
        <v>14.931333333333333</v>
      </c>
      <c r="D101">
        <v>16.038091666666787</v>
      </c>
      <c r="E101">
        <v>730</v>
      </c>
      <c r="F101">
        <v>6.9017307288398774E-3</v>
      </c>
      <c r="G101">
        <v>1.3151221268560722E-2</v>
      </c>
      <c r="H101" t="s">
        <v>281</v>
      </c>
      <c r="I101" t="s">
        <v>282</v>
      </c>
    </row>
    <row r="102" spans="1:9" x14ac:dyDescent="0.2">
      <c r="A102">
        <v>5</v>
      </c>
      <c r="B102" t="s">
        <v>283</v>
      </c>
      <c r="C102">
        <v>15.320433333333334</v>
      </c>
      <c r="D102">
        <v>1.0408999999999615</v>
      </c>
      <c r="E102">
        <v>186.69611650485535</v>
      </c>
      <c r="F102">
        <v>4.4793430945280429E-4</v>
      </c>
      <c r="G102">
        <v>3.3633999152552657E-3</v>
      </c>
      <c r="H102" t="s">
        <v>23</v>
      </c>
      <c r="I102" t="s">
        <v>284</v>
      </c>
    </row>
    <row r="103" spans="1:9" x14ac:dyDescent="0.2">
      <c r="A103">
        <v>2</v>
      </c>
      <c r="B103" t="s">
        <v>285</v>
      </c>
      <c r="C103">
        <v>15.589366666666667</v>
      </c>
      <c r="D103">
        <v>26.634216666666092</v>
      </c>
      <c r="E103">
        <v>1240</v>
      </c>
      <c r="F103">
        <v>1.1461600009991248E-2</v>
      </c>
      <c r="G103">
        <v>2.2339060784952458E-2</v>
      </c>
      <c r="H103" t="s">
        <v>286</v>
      </c>
      <c r="I103" t="s">
        <v>287</v>
      </c>
    </row>
    <row r="104" spans="1:9" x14ac:dyDescent="0.2">
      <c r="A104">
        <v>12</v>
      </c>
      <c r="B104" t="s">
        <v>288</v>
      </c>
      <c r="C104">
        <v>15.772466666666666</v>
      </c>
      <c r="D104">
        <v>4119.8789166666966</v>
      </c>
      <c r="E104">
        <v>151764.48621359232</v>
      </c>
      <c r="F104">
        <v>1.7729225838854188</v>
      </c>
      <c r="G104">
        <v>2.7340936149375143</v>
      </c>
      <c r="H104" t="s">
        <v>289</v>
      </c>
      <c r="I104" t="s">
        <v>290</v>
      </c>
    </row>
    <row r="105" spans="1:9" x14ac:dyDescent="0.2">
      <c r="A105">
        <v>9</v>
      </c>
      <c r="B105" t="s">
        <v>291</v>
      </c>
      <c r="C105">
        <v>16.012783333333335</v>
      </c>
      <c r="D105">
        <v>232.47414166667284</v>
      </c>
      <c r="E105">
        <v>8113.4731476424558</v>
      </c>
      <c r="F105">
        <v>0.10004144885493164</v>
      </c>
      <c r="G105">
        <v>0.14616723372763255</v>
      </c>
      <c r="H105" t="s">
        <v>292</v>
      </c>
      <c r="I105" t="s">
        <v>293</v>
      </c>
    </row>
    <row r="106" spans="1:9" x14ac:dyDescent="0.2">
      <c r="A106">
        <v>6</v>
      </c>
      <c r="B106" t="s">
        <v>283</v>
      </c>
      <c r="C106">
        <v>16.070016666666668</v>
      </c>
      <c r="D106">
        <v>5.5108750000001336</v>
      </c>
      <c r="E106">
        <v>233.95338674435391</v>
      </c>
      <c r="F106">
        <v>2.371515023158684E-3</v>
      </c>
      <c r="G106">
        <v>4.2147571994577519E-3</v>
      </c>
      <c r="H106" t="s">
        <v>23</v>
      </c>
      <c r="I106" t="s">
        <v>284</v>
      </c>
    </row>
    <row r="107" spans="1:9" x14ac:dyDescent="0.2">
      <c r="A107">
        <v>5</v>
      </c>
      <c r="B107" t="s">
        <v>294</v>
      </c>
      <c r="C107">
        <v>16.201616666666666</v>
      </c>
      <c r="D107">
        <v>9.6873166666664634</v>
      </c>
      <c r="E107">
        <v>358</v>
      </c>
      <c r="F107">
        <v>4.1687784624210248E-3</v>
      </c>
      <c r="G107">
        <v>6.4495030330749843E-3</v>
      </c>
      <c r="H107" t="s">
        <v>295</v>
      </c>
      <c r="I107" t="s">
        <v>296</v>
      </c>
    </row>
    <row r="108" spans="1:9" x14ac:dyDescent="0.2">
      <c r="A108">
        <v>11</v>
      </c>
      <c r="B108" t="s">
        <v>297</v>
      </c>
      <c r="C108">
        <v>16.276</v>
      </c>
      <c r="D108">
        <v>91.597349999998443</v>
      </c>
      <c r="E108">
        <v>4124.9766967666756</v>
      </c>
      <c r="F108">
        <v>3.9417423114571665E-2</v>
      </c>
      <c r="G108">
        <v>7.4312988036760619E-2</v>
      </c>
      <c r="H108" t="s">
        <v>298</v>
      </c>
      <c r="I108" t="s">
        <v>299</v>
      </c>
    </row>
    <row r="109" spans="1:9" x14ac:dyDescent="0.2">
      <c r="A109">
        <v>8</v>
      </c>
      <c r="B109" t="s">
        <v>283</v>
      </c>
      <c r="C109">
        <v>16.333216666666669</v>
      </c>
      <c r="D109">
        <v>0.61884999999989887</v>
      </c>
      <c r="E109">
        <v>363.88638018938673</v>
      </c>
      <c r="F109">
        <v>2.6631198713116813E-4</v>
      </c>
      <c r="G109">
        <v>6.5555483595701848E-3</v>
      </c>
      <c r="H109" t="s">
        <v>23</v>
      </c>
      <c r="I109" t="s">
        <v>284</v>
      </c>
    </row>
    <row r="110" spans="1:9" x14ac:dyDescent="0.2">
      <c r="A110">
        <v>7</v>
      </c>
      <c r="B110" t="s">
        <v>283</v>
      </c>
      <c r="C110">
        <v>16.390433333333334</v>
      </c>
      <c r="D110">
        <v>1.2204083333332889</v>
      </c>
      <c r="E110">
        <v>195.97013838310181</v>
      </c>
      <c r="F110">
        <v>5.2518278801240729E-4</v>
      </c>
      <c r="G110">
        <v>3.5304748656255292E-3</v>
      </c>
      <c r="H110" t="s">
        <v>23</v>
      </c>
      <c r="I110" t="s">
        <v>284</v>
      </c>
    </row>
    <row r="111" spans="1:9" x14ac:dyDescent="0.2">
      <c r="A111">
        <v>10</v>
      </c>
      <c r="B111" t="s">
        <v>300</v>
      </c>
      <c r="C111">
        <v>16.659366666666667</v>
      </c>
      <c r="D111">
        <v>229.7900653013516</v>
      </c>
      <c r="E111">
        <v>7836.1260852517817</v>
      </c>
      <c r="F111">
        <v>9.8886400441809533E-2</v>
      </c>
      <c r="G111">
        <v>0.14117072333628314</v>
      </c>
      <c r="H111" t="s">
        <v>301</v>
      </c>
      <c r="I111" t="s">
        <v>302</v>
      </c>
    </row>
    <row r="112" spans="1:9" x14ac:dyDescent="0.2">
      <c r="A112">
        <v>7</v>
      </c>
      <c r="B112" t="s">
        <v>283</v>
      </c>
      <c r="C112">
        <v>16.710866666666668</v>
      </c>
      <c r="D112">
        <v>20.991241666666923</v>
      </c>
      <c r="E112">
        <v>731.35424940428948</v>
      </c>
      <c r="F112">
        <v>9.0332379099968586E-3</v>
      </c>
      <c r="G112">
        <v>1.3175618574819114E-2</v>
      </c>
      <c r="H112" t="s">
        <v>23</v>
      </c>
      <c r="I112" t="s">
        <v>284</v>
      </c>
    </row>
    <row r="113" spans="1:9" x14ac:dyDescent="0.2">
      <c r="A113">
        <v>11</v>
      </c>
      <c r="B113" t="s">
        <v>303</v>
      </c>
      <c r="C113">
        <v>16.710866666666668</v>
      </c>
      <c r="D113">
        <v>20.991241666666923</v>
      </c>
      <c r="E113">
        <v>731.35424940428948</v>
      </c>
      <c r="F113">
        <v>9.0332379099968586E-3</v>
      </c>
      <c r="G113">
        <v>1.3175618574819114E-2</v>
      </c>
      <c r="H113" t="s">
        <v>23</v>
      </c>
      <c r="I113" t="s">
        <v>304</v>
      </c>
    </row>
    <row r="114" spans="1:9" x14ac:dyDescent="0.2">
      <c r="A114">
        <v>4</v>
      </c>
      <c r="B114" t="s">
        <v>305</v>
      </c>
      <c r="C114">
        <v>16.796700000000001</v>
      </c>
      <c r="D114">
        <v>10.985066666666349</v>
      </c>
      <c r="E114">
        <v>653.67330097087392</v>
      </c>
      <c r="F114">
        <v>4.7272439731255566E-3</v>
      </c>
      <c r="G114">
        <v>1.1776167422491027E-2</v>
      </c>
      <c r="H114" t="s">
        <v>23</v>
      </c>
      <c r="I114" t="s">
        <v>306</v>
      </c>
    </row>
    <row r="115" spans="1:9" x14ac:dyDescent="0.2">
      <c r="A115">
        <v>10</v>
      </c>
      <c r="B115" t="s">
        <v>307</v>
      </c>
      <c r="C115">
        <v>16.842483333333334</v>
      </c>
      <c r="D115">
        <v>37.423341666666957</v>
      </c>
      <c r="E115">
        <v>1882</v>
      </c>
      <c r="F115">
        <v>1.6104523688034819E-2</v>
      </c>
      <c r="G115">
        <v>3.3904929352645587E-2</v>
      </c>
      <c r="H115" t="s">
        <v>308</v>
      </c>
      <c r="I115" t="s">
        <v>309</v>
      </c>
    </row>
    <row r="116" spans="1:9" x14ac:dyDescent="0.2">
      <c r="A116">
        <v>8</v>
      </c>
      <c r="B116" t="s">
        <v>303</v>
      </c>
      <c r="C116">
        <v>16.911133333333332</v>
      </c>
      <c r="D116">
        <v>13.34895833333303</v>
      </c>
      <c r="E116">
        <v>693.86724927174828</v>
      </c>
      <c r="F116">
        <v>5.7445061321510322E-3</v>
      </c>
      <c r="G116">
        <v>1.2500276337233341E-2</v>
      </c>
      <c r="H116" t="s">
        <v>23</v>
      </c>
      <c r="I116" t="s">
        <v>304</v>
      </c>
    </row>
    <row r="117" spans="1:9" x14ac:dyDescent="0.2">
      <c r="A117">
        <v>5</v>
      </c>
      <c r="B117" t="s">
        <v>305</v>
      </c>
      <c r="C117">
        <v>16.911133333333332</v>
      </c>
      <c r="D117">
        <v>13.34895833333303</v>
      </c>
      <c r="E117">
        <v>693.86724927174828</v>
      </c>
      <c r="F117">
        <v>5.7445061321510322E-3</v>
      </c>
      <c r="G117">
        <v>1.2500276337233341E-2</v>
      </c>
      <c r="H117" t="s">
        <v>23</v>
      </c>
      <c r="I117" t="s">
        <v>306</v>
      </c>
    </row>
    <row r="118" spans="1:9" x14ac:dyDescent="0.2">
      <c r="A118">
        <v>13</v>
      </c>
      <c r="B118" t="s">
        <v>303</v>
      </c>
      <c r="C118">
        <v>17.019850000000002</v>
      </c>
      <c r="D118">
        <v>20.179475000000238</v>
      </c>
      <c r="E118">
        <v>920.41198501872714</v>
      </c>
      <c r="F118">
        <v>8.6839073871126625E-3</v>
      </c>
      <c r="G118">
        <v>1.658156393591298E-2</v>
      </c>
      <c r="H118" t="s">
        <v>23</v>
      </c>
      <c r="I118" t="s">
        <v>304</v>
      </c>
    </row>
    <row r="119" spans="1:9" x14ac:dyDescent="0.2">
      <c r="A119">
        <v>8</v>
      </c>
      <c r="B119" t="s">
        <v>305</v>
      </c>
      <c r="C119">
        <v>17.214400000000001</v>
      </c>
      <c r="D119">
        <v>16.129510868358537</v>
      </c>
      <c r="E119">
        <v>667.56471077819606</v>
      </c>
      <c r="F119">
        <v>6.9410714887404648E-3</v>
      </c>
      <c r="G119">
        <v>1.2026426332228491E-2</v>
      </c>
      <c r="H119" t="s">
        <v>23</v>
      </c>
      <c r="I119" t="s">
        <v>306</v>
      </c>
    </row>
    <row r="120" spans="1:9" x14ac:dyDescent="0.2">
      <c r="A120">
        <v>8</v>
      </c>
      <c r="B120" t="s">
        <v>305</v>
      </c>
      <c r="C120">
        <v>17.283066666666667</v>
      </c>
      <c r="D120">
        <v>21.530999999999182</v>
      </c>
      <c r="E120">
        <v>693.77891057384159</v>
      </c>
      <c r="F120">
        <v>9.2655140905258133E-3</v>
      </c>
      <c r="G120">
        <v>1.2498684882763825E-2</v>
      </c>
      <c r="H120" t="s">
        <v>23</v>
      </c>
      <c r="I120" t="s">
        <v>306</v>
      </c>
    </row>
    <row r="121" spans="1:9" x14ac:dyDescent="0.2">
      <c r="A121">
        <v>8</v>
      </c>
      <c r="B121" t="s">
        <v>283</v>
      </c>
      <c r="C121">
        <v>17.283066666666667</v>
      </c>
      <c r="D121">
        <v>21.530999999999182</v>
      </c>
      <c r="E121">
        <v>693.77891057384159</v>
      </c>
      <c r="F121">
        <v>9.2655140905258133E-3</v>
      </c>
      <c r="G121">
        <v>1.2498684882763825E-2</v>
      </c>
      <c r="H121" t="s">
        <v>23</v>
      </c>
      <c r="I121" t="s">
        <v>284</v>
      </c>
    </row>
    <row r="122" spans="1:9" x14ac:dyDescent="0.2">
      <c r="A122">
        <v>8</v>
      </c>
      <c r="B122" t="s">
        <v>305</v>
      </c>
      <c r="C122">
        <v>17.391783333333333</v>
      </c>
      <c r="D122">
        <v>8.9778583333336428</v>
      </c>
      <c r="E122">
        <v>606.52566436114375</v>
      </c>
      <c r="F122">
        <v>3.8634746593400504E-3</v>
      </c>
      <c r="G122">
        <v>1.092678522886876E-2</v>
      </c>
      <c r="H122" t="s">
        <v>23</v>
      </c>
      <c r="I122" t="s">
        <v>306</v>
      </c>
    </row>
    <row r="123" spans="1:9" x14ac:dyDescent="0.2">
      <c r="A123">
        <v>23</v>
      </c>
      <c r="B123" t="s">
        <v>310</v>
      </c>
      <c r="C123">
        <v>17.443283333333333</v>
      </c>
      <c r="D123">
        <v>419.91971666668906</v>
      </c>
      <c r="E123">
        <v>17408.28167256085</v>
      </c>
      <c r="F123">
        <v>0.18070558969230238</v>
      </c>
      <c r="G123">
        <v>0.31361666326202475</v>
      </c>
      <c r="H123" t="s">
        <v>23</v>
      </c>
      <c r="I123" t="s">
        <v>311</v>
      </c>
    </row>
    <row r="124" spans="1:9" x14ac:dyDescent="0.2">
      <c r="A124">
        <v>15</v>
      </c>
      <c r="B124" t="s">
        <v>305</v>
      </c>
      <c r="C124">
        <v>17.517666666666667</v>
      </c>
      <c r="D124">
        <v>6.2935833333342828</v>
      </c>
      <c r="E124">
        <v>495.83236272879003</v>
      </c>
      <c r="F124">
        <v>2.7083407670293732E-3</v>
      </c>
      <c r="G124">
        <v>8.9326042662459977E-3</v>
      </c>
      <c r="H124" t="s">
        <v>23</v>
      </c>
      <c r="I124" t="s">
        <v>306</v>
      </c>
    </row>
    <row r="125" spans="1:9" x14ac:dyDescent="0.2">
      <c r="A125">
        <v>7</v>
      </c>
      <c r="B125" t="s">
        <v>305</v>
      </c>
      <c r="C125">
        <v>17.637833333333333</v>
      </c>
      <c r="D125">
        <v>16.501186111110883</v>
      </c>
      <c r="E125">
        <v>1012.5320388349523</v>
      </c>
      <c r="F125">
        <v>7.1010158572705658E-3</v>
      </c>
      <c r="G125">
        <v>1.8241140937295036E-2</v>
      </c>
      <c r="H125" t="s">
        <v>23</v>
      </c>
      <c r="I125" t="s">
        <v>306</v>
      </c>
    </row>
    <row r="126" spans="1:9" x14ac:dyDescent="0.2">
      <c r="A126">
        <v>9</v>
      </c>
      <c r="B126" t="s">
        <v>305</v>
      </c>
      <c r="C126">
        <v>17.637833333333333</v>
      </c>
      <c r="D126">
        <v>16.501186111110883</v>
      </c>
      <c r="E126">
        <v>1012.5320388349523</v>
      </c>
      <c r="F126">
        <v>7.1010158572705658E-3</v>
      </c>
      <c r="G126">
        <v>1.8241140937295036E-2</v>
      </c>
      <c r="H126" t="s">
        <v>23</v>
      </c>
      <c r="I126" t="s">
        <v>306</v>
      </c>
    </row>
    <row r="127" spans="1:9" x14ac:dyDescent="0.2">
      <c r="A127">
        <v>6</v>
      </c>
      <c r="B127" t="s">
        <v>305</v>
      </c>
      <c r="C127">
        <v>17.683600000000002</v>
      </c>
      <c r="D127">
        <v>21.21598888888974</v>
      </c>
      <c r="E127">
        <v>815.80129449837614</v>
      </c>
      <c r="F127">
        <v>9.1299542053065105E-3</v>
      </c>
      <c r="G127">
        <v>1.4696963472775907E-2</v>
      </c>
      <c r="H127" t="s">
        <v>23</v>
      </c>
      <c r="I127" t="s">
        <v>306</v>
      </c>
    </row>
    <row r="128" spans="1:9" x14ac:dyDescent="0.2">
      <c r="A128">
        <v>12</v>
      </c>
      <c r="B128" t="s">
        <v>305</v>
      </c>
      <c r="C128">
        <v>17.792316666666668</v>
      </c>
      <c r="D128">
        <v>0.37068333333328951</v>
      </c>
      <c r="E128">
        <v>104.89743589742829</v>
      </c>
      <c r="F128">
        <v>1.5951751651678054E-4</v>
      </c>
      <c r="G128">
        <v>1.8897662876599232E-3</v>
      </c>
      <c r="H128" t="s">
        <v>23</v>
      </c>
      <c r="I128" t="s">
        <v>306</v>
      </c>
    </row>
    <row r="129" spans="1:9" x14ac:dyDescent="0.2">
      <c r="A129">
        <v>2</v>
      </c>
      <c r="B129" t="s">
        <v>305</v>
      </c>
      <c r="C129">
        <v>17.923933333333334</v>
      </c>
      <c r="D129">
        <v>11.454158333333382</v>
      </c>
      <c r="E129">
        <v>1091.9597087378625</v>
      </c>
      <c r="F129">
        <v>4.9291099081611705E-3</v>
      </c>
      <c r="G129">
        <v>1.9672059925979108E-2</v>
      </c>
      <c r="H129" t="s">
        <v>23</v>
      </c>
      <c r="I129" t="s">
        <v>306</v>
      </c>
    </row>
    <row r="130" spans="1:9" x14ac:dyDescent="0.2">
      <c r="A130">
        <v>14</v>
      </c>
      <c r="B130" t="s">
        <v>305</v>
      </c>
      <c r="C130">
        <v>17.923933333333334</v>
      </c>
      <c r="D130">
        <v>11.454158333333382</v>
      </c>
      <c r="E130">
        <v>1091.9597087378625</v>
      </c>
      <c r="F130">
        <v>4.9291099081611705E-3</v>
      </c>
      <c r="G130">
        <v>1.9672059925979108E-2</v>
      </c>
      <c r="H130" t="s">
        <v>23</v>
      </c>
      <c r="I130" t="s">
        <v>306</v>
      </c>
    </row>
    <row r="131" spans="1:9" x14ac:dyDescent="0.2">
      <c r="A131">
        <v>9</v>
      </c>
      <c r="B131" t="s">
        <v>305</v>
      </c>
      <c r="C131">
        <v>17.963983333333335</v>
      </c>
      <c r="D131">
        <v>34.374216666667337</v>
      </c>
      <c r="E131">
        <v>1212.4999999999873</v>
      </c>
      <c r="F131">
        <v>1.4792382558906022E-2</v>
      </c>
      <c r="G131">
        <v>2.1843638065931103E-2</v>
      </c>
      <c r="H131" t="s">
        <v>23</v>
      </c>
      <c r="I131" t="s">
        <v>306</v>
      </c>
    </row>
    <row r="132" spans="1:9" x14ac:dyDescent="0.2">
      <c r="A132">
        <v>7</v>
      </c>
      <c r="B132" t="s">
        <v>305</v>
      </c>
      <c r="C132">
        <v>18.061250000000001</v>
      </c>
      <c r="D132">
        <v>4.7689249999999817</v>
      </c>
      <c r="E132">
        <v>436.67572815533822</v>
      </c>
      <c r="F132">
        <v>2.0522289621551404E-3</v>
      </c>
      <c r="G132">
        <v>7.8668755117544155E-3</v>
      </c>
      <c r="H132" t="s">
        <v>23</v>
      </c>
      <c r="I132" t="s">
        <v>306</v>
      </c>
    </row>
    <row r="133" spans="1:9" x14ac:dyDescent="0.2">
      <c r="A133">
        <v>14</v>
      </c>
      <c r="B133" t="s">
        <v>310</v>
      </c>
      <c r="C133">
        <v>18.066983333333333</v>
      </c>
      <c r="D133">
        <v>292.40143333332765</v>
      </c>
      <c r="E133">
        <v>12702.382843526602</v>
      </c>
      <c r="F133">
        <v>0.12583017977056313</v>
      </c>
      <c r="G133">
        <v>0.22883814714135323</v>
      </c>
      <c r="H133" t="s">
        <v>23</v>
      </c>
      <c r="I133" t="s">
        <v>311</v>
      </c>
    </row>
    <row r="134" spans="1:9" x14ac:dyDescent="0.2">
      <c r="A134">
        <v>6</v>
      </c>
      <c r="B134" t="s">
        <v>305</v>
      </c>
      <c r="C134">
        <v>18.101316666666666</v>
      </c>
      <c r="D134">
        <v>7.4856166666671271</v>
      </c>
      <c r="E134">
        <v>644.33203883489205</v>
      </c>
      <c r="F134">
        <v>3.2213128373638831E-3</v>
      </c>
      <c r="G134">
        <v>1.160788111389113E-2</v>
      </c>
      <c r="H134" t="s">
        <v>23</v>
      </c>
      <c r="I134" t="s">
        <v>306</v>
      </c>
    </row>
    <row r="135" spans="1:9" x14ac:dyDescent="0.2">
      <c r="A135">
        <v>9</v>
      </c>
      <c r="B135" t="s">
        <v>305</v>
      </c>
      <c r="C135">
        <v>18.181416666666667</v>
      </c>
      <c r="D135">
        <v>49.197445480113629</v>
      </c>
      <c r="E135">
        <v>1938.8831860184837</v>
      </c>
      <c r="F135">
        <v>2.1171316906501588E-2</v>
      </c>
      <c r="G135">
        <v>3.492970108660419E-2</v>
      </c>
      <c r="H135" t="s">
        <v>23</v>
      </c>
      <c r="I135" t="s">
        <v>306</v>
      </c>
    </row>
    <row r="136" spans="1:9" x14ac:dyDescent="0.2">
      <c r="A136">
        <v>5</v>
      </c>
      <c r="B136" t="s">
        <v>305</v>
      </c>
      <c r="C136">
        <v>18.2272</v>
      </c>
      <c r="D136">
        <v>75.079358001873857</v>
      </c>
      <c r="E136">
        <v>1966.5620731217386</v>
      </c>
      <c r="F136">
        <v>3.2309175118388406E-2</v>
      </c>
      <c r="G136">
        <v>3.5428346523265028E-2</v>
      </c>
      <c r="H136" t="s">
        <v>23</v>
      </c>
      <c r="I136" t="s">
        <v>306</v>
      </c>
    </row>
    <row r="137" spans="1:9" x14ac:dyDescent="0.2">
      <c r="A137">
        <v>7</v>
      </c>
      <c r="B137" t="s">
        <v>305</v>
      </c>
      <c r="C137">
        <v>18.2272</v>
      </c>
      <c r="D137">
        <v>75.079358001873857</v>
      </c>
      <c r="E137">
        <v>1966.5620731217386</v>
      </c>
      <c r="F137">
        <v>3.2309175118388406E-2</v>
      </c>
      <c r="G137">
        <v>3.5428346523265028E-2</v>
      </c>
      <c r="H137" t="s">
        <v>23</v>
      </c>
      <c r="I137" t="s">
        <v>306</v>
      </c>
    </row>
    <row r="138" spans="1:9" x14ac:dyDescent="0.2">
      <c r="A138">
        <v>7</v>
      </c>
      <c r="B138" t="s">
        <v>312</v>
      </c>
      <c r="C138">
        <v>18.307300000000001</v>
      </c>
      <c r="D138">
        <v>6.7692083333331965</v>
      </c>
      <c r="E138">
        <v>343.86808156470761</v>
      </c>
      <c r="F138">
        <v>2.9130182153270113E-3</v>
      </c>
      <c r="G138">
        <v>6.1949112710314455E-3</v>
      </c>
      <c r="H138" t="s">
        <v>313</v>
      </c>
      <c r="I138" t="s">
        <v>314</v>
      </c>
    </row>
    <row r="139" spans="1:9" x14ac:dyDescent="0.2">
      <c r="A139">
        <v>5</v>
      </c>
      <c r="B139" t="s">
        <v>305</v>
      </c>
      <c r="C139">
        <v>18.347349999999999</v>
      </c>
      <c r="D139">
        <v>7.5738333333351875</v>
      </c>
      <c r="E139">
        <v>999.53890969626354</v>
      </c>
      <c r="F139">
        <v>3.2592754386379613E-3</v>
      </c>
      <c r="G139">
        <v>1.8007064887604788E-2</v>
      </c>
      <c r="H139" t="s">
        <v>23</v>
      </c>
      <c r="I139" t="s">
        <v>306</v>
      </c>
    </row>
    <row r="140" spans="1:9" x14ac:dyDescent="0.2">
      <c r="A140">
        <v>8</v>
      </c>
      <c r="B140" t="s">
        <v>312</v>
      </c>
      <c r="C140">
        <v>18.381683333333335</v>
      </c>
      <c r="D140">
        <v>10.472250000000052</v>
      </c>
      <c r="E140">
        <v>408.6666666666631</v>
      </c>
      <c r="F140">
        <v>4.50656169869087E-3</v>
      </c>
      <c r="G140">
        <v>7.3622818608471705E-3</v>
      </c>
      <c r="H140" t="s">
        <v>313</v>
      </c>
      <c r="I140" t="s">
        <v>314</v>
      </c>
    </row>
    <row r="141" spans="1:9" x14ac:dyDescent="0.2">
      <c r="A141">
        <v>6</v>
      </c>
      <c r="B141" t="s">
        <v>305</v>
      </c>
      <c r="C141">
        <v>18.45035</v>
      </c>
      <c r="D141">
        <v>74.920750000001931</v>
      </c>
      <c r="E141">
        <v>1893.2528696248137</v>
      </c>
      <c r="F141">
        <v>3.2240920756017193E-2</v>
      </c>
      <c r="G141">
        <v>3.4107653980511597E-2</v>
      </c>
      <c r="H141" t="s">
        <v>23</v>
      </c>
      <c r="I141" t="s">
        <v>306</v>
      </c>
    </row>
    <row r="142" spans="1:9" x14ac:dyDescent="0.2">
      <c r="A142">
        <v>5</v>
      </c>
      <c r="B142" t="s">
        <v>312</v>
      </c>
      <c r="C142">
        <v>18.490400000000001</v>
      </c>
      <c r="D142">
        <v>7.5431666666665613</v>
      </c>
      <c r="E142">
        <v>519.18462434479022</v>
      </c>
      <c r="F142">
        <v>3.2460785396491716E-3</v>
      </c>
      <c r="G142">
        <v>9.3533039369765938E-3</v>
      </c>
      <c r="H142" t="s">
        <v>313</v>
      </c>
      <c r="I142" t="s">
        <v>314</v>
      </c>
    </row>
    <row r="143" spans="1:9" x14ac:dyDescent="0.2">
      <c r="A143">
        <v>10</v>
      </c>
      <c r="B143" t="s">
        <v>305</v>
      </c>
      <c r="C143">
        <v>18.564783333333335</v>
      </c>
      <c r="D143">
        <v>23.311900366595182</v>
      </c>
      <c r="E143">
        <v>1049.6566523605197</v>
      </c>
      <c r="F143">
        <v>1.0031895468098545E-2</v>
      </c>
      <c r="G143">
        <v>1.8909954645493034E-2</v>
      </c>
      <c r="H143" t="s">
        <v>23</v>
      </c>
      <c r="I143" t="s">
        <v>306</v>
      </c>
    </row>
    <row r="144" spans="1:9" x14ac:dyDescent="0.2">
      <c r="A144">
        <v>9</v>
      </c>
      <c r="B144" t="s">
        <v>312</v>
      </c>
      <c r="C144">
        <v>18.684950000000001</v>
      </c>
      <c r="D144">
        <v>29.658300000001034</v>
      </c>
      <c r="E144">
        <v>919.61469534050116</v>
      </c>
      <c r="F144">
        <v>1.276296486698536E-2</v>
      </c>
      <c r="G144">
        <v>1.6567200466086285E-2</v>
      </c>
      <c r="H144" t="s">
        <v>313</v>
      </c>
      <c r="I144" t="s">
        <v>314</v>
      </c>
    </row>
    <row r="145" spans="1:9" x14ac:dyDescent="0.2">
      <c r="A145">
        <v>17</v>
      </c>
      <c r="B145" t="s">
        <v>312</v>
      </c>
      <c r="C145">
        <v>18.822283333333335</v>
      </c>
      <c r="D145">
        <v>15.115424999999647</v>
      </c>
      <c r="E145">
        <v>425.40679611650285</v>
      </c>
      <c r="F145">
        <v>6.5046762027675536E-3</v>
      </c>
      <c r="G145">
        <v>7.6638615135309947E-3</v>
      </c>
      <c r="H145" t="s">
        <v>313</v>
      </c>
      <c r="I145" t="s">
        <v>314</v>
      </c>
    </row>
    <row r="146" spans="1:9" x14ac:dyDescent="0.2">
      <c r="A146">
        <v>14</v>
      </c>
      <c r="B146" t="s">
        <v>305</v>
      </c>
      <c r="C146">
        <v>18.856616666666667</v>
      </c>
      <c r="D146">
        <v>46.003416666666055</v>
      </c>
      <c r="E146">
        <v>2006.0812297734574</v>
      </c>
      <c r="F146">
        <v>1.9796818788599721E-2</v>
      </c>
      <c r="G146">
        <v>3.6140298815694714E-2</v>
      </c>
      <c r="H146" t="s">
        <v>23</v>
      </c>
      <c r="I146" t="s">
        <v>306</v>
      </c>
    </row>
    <row r="147" spans="1:9" x14ac:dyDescent="0.2">
      <c r="A147">
        <v>2</v>
      </c>
      <c r="B147" t="s">
        <v>315</v>
      </c>
      <c r="C147">
        <v>18.953883333333334</v>
      </c>
      <c r="D147">
        <v>1.9223583333336265</v>
      </c>
      <c r="E147">
        <v>211.00970873786241</v>
      </c>
      <c r="F147">
        <v>8.2725550251001412E-4</v>
      </c>
      <c r="G147">
        <v>3.8014183142824373E-3</v>
      </c>
      <c r="H147" t="s">
        <v>316</v>
      </c>
      <c r="I147" t="s">
        <v>317</v>
      </c>
    </row>
    <row r="148" spans="1:9" x14ac:dyDescent="0.2">
      <c r="A148">
        <v>15</v>
      </c>
      <c r="B148" t="s">
        <v>312</v>
      </c>
      <c r="C148">
        <v>19.07405</v>
      </c>
      <c r="D148">
        <v>3.3498500000002061</v>
      </c>
      <c r="E148">
        <v>193.6911871813777</v>
      </c>
      <c r="F148">
        <v>1.4415532198295939E-3</v>
      </c>
      <c r="G148">
        <v>3.4894187128664518E-3</v>
      </c>
      <c r="H148" t="s">
        <v>313</v>
      </c>
      <c r="I148" t="s">
        <v>314</v>
      </c>
    </row>
    <row r="149" spans="1:9" x14ac:dyDescent="0.2">
      <c r="A149">
        <v>13</v>
      </c>
      <c r="B149" t="s">
        <v>315</v>
      </c>
      <c r="C149">
        <v>19.136983333333333</v>
      </c>
      <c r="D149">
        <v>8.0699083333337711</v>
      </c>
      <c r="E149">
        <v>445.27091136079957</v>
      </c>
      <c r="F149">
        <v>3.4727532103366585E-3</v>
      </c>
      <c r="G149">
        <v>8.0217209311774836E-3</v>
      </c>
      <c r="H149" t="s">
        <v>316</v>
      </c>
      <c r="I149" t="s">
        <v>317</v>
      </c>
    </row>
    <row r="150" spans="1:9" x14ac:dyDescent="0.2">
      <c r="A150">
        <v>5</v>
      </c>
      <c r="B150" t="s">
        <v>315</v>
      </c>
      <c r="C150">
        <v>19.205650000000002</v>
      </c>
      <c r="D150">
        <v>2.8143916666665802</v>
      </c>
      <c r="E150">
        <v>319.02038834951099</v>
      </c>
      <c r="F150">
        <v>1.211127474049446E-3</v>
      </c>
      <c r="G150">
        <v>5.7472708443377938E-3</v>
      </c>
      <c r="H150" t="s">
        <v>316</v>
      </c>
      <c r="I150" t="s">
        <v>317</v>
      </c>
    </row>
    <row r="151" spans="1:9" x14ac:dyDescent="0.2">
      <c r="A151">
        <v>7</v>
      </c>
      <c r="B151" t="s">
        <v>312</v>
      </c>
      <c r="C151">
        <v>19.280033333333332</v>
      </c>
      <c r="D151">
        <v>0.87576666666640079</v>
      </c>
      <c r="E151">
        <v>437.10560815732333</v>
      </c>
      <c r="F151">
        <v>3.7687187729370066E-4</v>
      </c>
      <c r="G151">
        <v>7.8746199597339167E-3</v>
      </c>
      <c r="H151" t="s">
        <v>313</v>
      </c>
      <c r="I151" t="s">
        <v>314</v>
      </c>
    </row>
    <row r="152" spans="1:9" x14ac:dyDescent="0.2">
      <c r="A152">
        <v>5</v>
      </c>
      <c r="B152" t="s">
        <v>315</v>
      </c>
      <c r="C152">
        <v>19.365866666666665</v>
      </c>
      <c r="D152">
        <v>8.9543666666669139</v>
      </c>
      <c r="E152">
        <v>374.24972697488147</v>
      </c>
      <c r="F152">
        <v>3.8533654043815943E-3</v>
      </c>
      <c r="G152">
        <v>6.742247902938499E-3</v>
      </c>
      <c r="H152" t="s">
        <v>316</v>
      </c>
      <c r="I152" t="s">
        <v>317</v>
      </c>
    </row>
    <row r="153" spans="1:9" x14ac:dyDescent="0.2">
      <c r="A153">
        <v>8</v>
      </c>
      <c r="B153" t="s">
        <v>312</v>
      </c>
      <c r="C153">
        <v>19.428799999999999</v>
      </c>
      <c r="D153">
        <v>1.790824999999959</v>
      </c>
      <c r="E153">
        <v>169.6776699029142</v>
      </c>
      <c r="F153">
        <v>7.7065228141591849E-4</v>
      </c>
      <c r="G153">
        <v>3.0568062756534667E-3</v>
      </c>
      <c r="H153" t="s">
        <v>313</v>
      </c>
      <c r="I153" t="s">
        <v>314</v>
      </c>
    </row>
    <row r="154" spans="1:9" x14ac:dyDescent="0.2">
      <c r="A154">
        <v>5</v>
      </c>
      <c r="B154" t="s">
        <v>312</v>
      </c>
      <c r="C154">
        <v>19.428799999999999</v>
      </c>
      <c r="D154">
        <v>1.790824999999959</v>
      </c>
      <c r="E154">
        <v>169.6776699029142</v>
      </c>
      <c r="F154">
        <v>7.7065228141591849E-4</v>
      </c>
      <c r="G154">
        <v>3.0568062756534667E-3</v>
      </c>
      <c r="H154" t="s">
        <v>313</v>
      </c>
      <c r="I154" t="s">
        <v>314</v>
      </c>
    </row>
    <row r="155" spans="1:9" x14ac:dyDescent="0.2">
      <c r="A155">
        <v>9</v>
      </c>
      <c r="B155" t="s">
        <v>305</v>
      </c>
      <c r="C155">
        <v>19.508916666666668</v>
      </c>
      <c r="D155">
        <v>29.11441825974731</v>
      </c>
      <c r="E155">
        <v>1520.1580561091523</v>
      </c>
      <c r="F155">
        <v>1.252891424565329E-2</v>
      </c>
      <c r="G155">
        <v>2.7386212272707679E-2</v>
      </c>
      <c r="H155" t="s">
        <v>23</v>
      </c>
      <c r="I155" t="s">
        <v>306</v>
      </c>
    </row>
    <row r="156" spans="1:9" x14ac:dyDescent="0.2">
      <c r="A156">
        <v>4</v>
      </c>
      <c r="B156" t="s">
        <v>312</v>
      </c>
      <c r="C156">
        <v>19.663399999999999</v>
      </c>
      <c r="D156">
        <v>8.0451269725174726</v>
      </c>
      <c r="E156">
        <v>449.44414893617022</v>
      </c>
      <c r="F156">
        <v>3.4620889565711186E-3</v>
      </c>
      <c r="G156">
        <v>8.0969033568760746E-3</v>
      </c>
      <c r="H156" t="s">
        <v>313</v>
      </c>
      <c r="I156" t="s">
        <v>314</v>
      </c>
    </row>
    <row r="157" spans="1:9" x14ac:dyDescent="0.2">
      <c r="A157">
        <v>5</v>
      </c>
      <c r="B157" t="s">
        <v>312</v>
      </c>
      <c r="C157">
        <v>19.663399999999999</v>
      </c>
      <c r="D157">
        <v>8.0451269725174726</v>
      </c>
      <c r="E157">
        <v>449.44414893617022</v>
      </c>
      <c r="F157">
        <v>3.4620889565711186E-3</v>
      </c>
      <c r="G157">
        <v>8.0969033568760746E-3</v>
      </c>
      <c r="H157" t="s">
        <v>313</v>
      </c>
      <c r="I157" t="s">
        <v>314</v>
      </c>
    </row>
    <row r="158" spans="1:9" x14ac:dyDescent="0.2">
      <c r="A158">
        <v>6</v>
      </c>
      <c r="B158" t="s">
        <v>312</v>
      </c>
      <c r="C158">
        <v>19.777850000000001</v>
      </c>
      <c r="D158">
        <v>0.79461666666662722</v>
      </c>
      <c r="E158">
        <v>87.333333333320979</v>
      </c>
      <c r="F158">
        <v>3.4195030056971662E-4</v>
      </c>
      <c r="G158">
        <v>1.5733424531335261E-3</v>
      </c>
      <c r="H158" t="s">
        <v>313</v>
      </c>
      <c r="I158" t="s">
        <v>314</v>
      </c>
    </row>
    <row r="159" spans="1:9" x14ac:dyDescent="0.2">
      <c r="A159">
        <v>4</v>
      </c>
      <c r="B159" t="s">
        <v>312</v>
      </c>
      <c r="C159">
        <v>19.829350000000002</v>
      </c>
      <c r="D159">
        <v>4.5440999999999363</v>
      </c>
      <c r="E159">
        <v>594</v>
      </c>
      <c r="F159">
        <v>1.9554791964497401E-3</v>
      </c>
      <c r="G159">
        <v>1.0701130730856259E-2</v>
      </c>
      <c r="H159" t="s">
        <v>313</v>
      </c>
      <c r="I159" t="s">
        <v>314</v>
      </c>
    </row>
    <row r="160" spans="1:9" x14ac:dyDescent="0.2">
      <c r="A160">
        <v>13</v>
      </c>
      <c r="B160" t="s">
        <v>312</v>
      </c>
      <c r="C160">
        <v>19.898016666666667</v>
      </c>
      <c r="D160">
        <v>23.268666666666718</v>
      </c>
      <c r="E160">
        <v>793.19982522575015</v>
      </c>
      <c r="F160">
        <v>1.0013290551658399E-2</v>
      </c>
      <c r="G160">
        <v>1.4289789605106207E-2</v>
      </c>
      <c r="H160" t="s">
        <v>313</v>
      </c>
      <c r="I160" t="s">
        <v>314</v>
      </c>
    </row>
    <row r="161" spans="1:9" x14ac:dyDescent="0.2">
      <c r="A161">
        <v>5</v>
      </c>
      <c r="B161" t="s">
        <v>312</v>
      </c>
      <c r="C161">
        <v>19.983833333333333</v>
      </c>
      <c r="D161">
        <v>8.767683333332954</v>
      </c>
      <c r="E161">
        <v>328.05992509363068</v>
      </c>
      <c r="F161">
        <v>3.7730292817922026E-3</v>
      </c>
      <c r="G161">
        <v>5.9101214578819077E-3</v>
      </c>
      <c r="H161" t="s">
        <v>313</v>
      </c>
      <c r="I161" t="s">
        <v>314</v>
      </c>
    </row>
    <row r="162" spans="1:9" x14ac:dyDescent="0.2">
      <c r="A162" t="s">
        <v>318</v>
      </c>
      <c r="D162">
        <v>34346.701137005402</v>
      </c>
      <c r="E162">
        <v>845258.71132803289</v>
      </c>
      <c r="F162">
        <v>14.780541700246832</v>
      </c>
      <c r="G1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7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5.85546875" customWidth="1"/>
    <col min="2" max="2" width="26.85546875" customWidth="1"/>
    <col min="3" max="3" width="14" customWidth="1"/>
    <col min="4" max="4" width="13.85546875" customWidth="1"/>
    <col min="5" max="5" width="14.85546875" customWidth="1"/>
    <col min="6" max="6" width="12.7109375" customWidth="1"/>
    <col min="7" max="7" width="13.85546875" customWidth="1"/>
    <col min="8" max="8" width="13" customWidth="1"/>
    <col min="9" max="9" width="9.7109375" customWidth="1"/>
  </cols>
  <sheetData>
    <row r="1" spans="1:8" ht="21" x14ac:dyDescent="0.2">
      <c r="A1" s="240" t="s">
        <v>319</v>
      </c>
      <c r="B1" s="241"/>
      <c r="C1" s="241"/>
      <c r="D1" s="241"/>
      <c r="E1" s="241"/>
      <c r="F1" s="241"/>
      <c r="G1" s="241"/>
      <c r="H1" s="242"/>
    </row>
    <row r="2" spans="1:8" ht="12.75" customHeight="1" x14ac:dyDescent="0.2">
      <c r="A2" s="88"/>
      <c r="B2" s="89"/>
      <c r="C2" s="89"/>
      <c r="D2" s="89"/>
      <c r="E2" s="89"/>
      <c r="F2" s="89"/>
      <c r="G2" s="89"/>
      <c r="H2" s="90"/>
    </row>
    <row r="3" spans="1:8" s="3" customFormat="1" ht="15.75" x14ac:dyDescent="0.25">
      <c r="A3" s="91" t="s">
        <v>320</v>
      </c>
      <c r="B3" s="92"/>
      <c r="C3" s="93" t="s">
        <v>321</v>
      </c>
      <c r="D3" s="92"/>
      <c r="E3" s="92"/>
      <c r="F3" s="92"/>
      <c r="G3" s="92"/>
      <c r="H3" s="94"/>
    </row>
    <row r="4" spans="1:8" ht="12.75" customHeight="1" x14ac:dyDescent="0.2">
      <c r="A4" s="17" t="s">
        <v>322</v>
      </c>
      <c r="C4" s="2" t="s">
        <v>323</v>
      </c>
      <c r="F4" s="95" t="s">
        <v>324</v>
      </c>
      <c r="G4" s="1"/>
      <c r="H4" s="96">
        <v>5.0567749212705754E-3</v>
      </c>
    </row>
    <row r="5" spans="1:8" ht="12.75" customHeight="1" x14ac:dyDescent="0.2">
      <c r="A5" s="17" t="s">
        <v>325</v>
      </c>
      <c r="B5" s="97"/>
      <c r="C5" s="2" t="s">
        <v>61</v>
      </c>
      <c r="F5" s="95" t="s">
        <v>326</v>
      </c>
      <c r="G5" s="1"/>
      <c r="H5" s="96">
        <v>3.4307385855433109E-2</v>
      </c>
    </row>
    <row r="6" spans="1:8" ht="12.75" customHeight="1" x14ac:dyDescent="0.2">
      <c r="A6" s="17" t="s">
        <v>327</v>
      </c>
      <c r="C6" s="98">
        <v>6</v>
      </c>
      <c r="F6" s="95" t="s">
        <v>328</v>
      </c>
      <c r="G6" s="1"/>
      <c r="H6" s="96">
        <v>0</v>
      </c>
    </row>
    <row r="7" spans="1:8" ht="12.75" customHeight="1" x14ac:dyDescent="0.2">
      <c r="A7" s="17" t="s">
        <v>329</v>
      </c>
      <c r="B7" s="99"/>
      <c r="C7" s="100">
        <v>0</v>
      </c>
      <c r="D7" s="99"/>
      <c r="E7" s="99"/>
      <c r="F7" s="101" t="s">
        <v>330</v>
      </c>
      <c r="G7" s="102"/>
      <c r="H7" s="103">
        <v>0.99999372477846582</v>
      </c>
    </row>
    <row r="8" spans="1:8" s="4" customFormat="1" ht="12.75" customHeight="1" x14ac:dyDescent="0.2">
      <c r="A8" s="12"/>
      <c r="B8" s="18"/>
      <c r="C8" s="19"/>
      <c r="D8" s="2"/>
      <c r="E8" s="2"/>
      <c r="F8" s="18"/>
      <c r="G8" s="18"/>
      <c r="H8" s="46"/>
    </row>
    <row r="9" spans="1:8" ht="15.75" x14ac:dyDescent="0.25">
      <c r="A9" s="104" t="s">
        <v>331</v>
      </c>
      <c r="B9" s="105"/>
      <c r="C9" s="106" t="s">
        <v>321</v>
      </c>
      <c r="D9" s="105"/>
      <c r="E9" s="105"/>
      <c r="F9" s="105"/>
      <c r="G9" s="105"/>
      <c r="H9" s="107"/>
    </row>
    <row r="10" spans="1:8" ht="12.6" customHeight="1" x14ac:dyDescent="0.2"/>
    <row r="13" spans="1:8" ht="12.6" customHeight="1" x14ac:dyDescent="0.2"/>
    <row r="14" spans="1:8" ht="12.6" customHeight="1" x14ac:dyDescent="0.2"/>
    <row r="15" spans="1:8" ht="12.6" customHeight="1" x14ac:dyDescent="0.2"/>
    <row r="16" spans="1:8" ht="12.6" customHeight="1" x14ac:dyDescent="0.2"/>
    <row r="17" ht="12.6" customHeight="1" x14ac:dyDescent="0.2"/>
    <row r="18" ht="13.15" customHeight="1" x14ac:dyDescent="0.2"/>
    <row r="19" ht="13.15" customHeight="1" x14ac:dyDescent="0.2"/>
    <row r="36" spans="1:13" ht="15.75" x14ac:dyDescent="0.25">
      <c r="A36" s="91" t="s">
        <v>332</v>
      </c>
      <c r="B36" s="92"/>
      <c r="C36" s="106" t="s">
        <v>321</v>
      </c>
      <c r="D36" s="92"/>
      <c r="E36" s="92"/>
      <c r="F36" s="92"/>
      <c r="G36" s="92"/>
      <c r="H36" s="94"/>
    </row>
    <row r="37" spans="1:13" ht="12.75" customHeight="1" x14ac:dyDescent="0.2">
      <c r="A37" s="55" t="s">
        <v>333</v>
      </c>
      <c r="B37" s="56" t="s">
        <v>17</v>
      </c>
      <c r="C37" s="57" t="s">
        <v>20</v>
      </c>
      <c r="D37" s="57" t="s">
        <v>334</v>
      </c>
      <c r="E37" s="57" t="s">
        <v>335</v>
      </c>
      <c r="F37" s="57" t="s">
        <v>336</v>
      </c>
      <c r="G37" s="57" t="s">
        <v>337</v>
      </c>
      <c r="H37" s="57" t="s">
        <v>338</v>
      </c>
      <c r="I37" s="58"/>
    </row>
    <row r="38" spans="1:13" ht="12.75" customHeight="1" x14ac:dyDescent="0.2">
      <c r="A38" s="59" t="s">
        <v>23</v>
      </c>
      <c r="B38" s="60" t="s">
        <v>23</v>
      </c>
      <c r="C38" s="61" t="s">
        <v>23</v>
      </c>
      <c r="D38" s="61" t="s">
        <v>339</v>
      </c>
      <c r="E38" s="61" t="s">
        <v>340</v>
      </c>
      <c r="F38" s="61" t="s">
        <v>70</v>
      </c>
      <c r="G38" s="61" t="s">
        <v>340</v>
      </c>
      <c r="H38" s="61" t="s">
        <v>341</v>
      </c>
      <c r="I38" s="58"/>
    </row>
    <row r="39" spans="1:13" ht="12.75" customHeight="1" x14ac:dyDescent="0.2">
      <c r="A39" s="59" t="s">
        <v>23</v>
      </c>
      <c r="B39" s="60" t="s">
        <v>23</v>
      </c>
      <c r="C39" s="61" t="s">
        <v>23</v>
      </c>
      <c r="D39" s="61" t="s">
        <v>342</v>
      </c>
      <c r="E39" s="61" t="s">
        <v>342</v>
      </c>
      <c r="F39" s="61" t="s">
        <v>342</v>
      </c>
      <c r="G39" s="61" t="s">
        <v>342</v>
      </c>
      <c r="H39" s="61" t="s">
        <v>342</v>
      </c>
      <c r="I39" s="58"/>
    </row>
    <row r="40" spans="1:13" ht="12.75" hidden="1" customHeight="1" x14ac:dyDescent="0.2">
      <c r="A40" s="62" t="s">
        <v>23</v>
      </c>
      <c r="B40" s="63" t="s">
        <v>23</v>
      </c>
      <c r="C40" s="64" t="s">
        <v>23</v>
      </c>
      <c r="D40" s="64" t="s">
        <v>321</v>
      </c>
      <c r="E40" s="64" t="s">
        <v>321</v>
      </c>
      <c r="F40" s="64" t="s">
        <v>321</v>
      </c>
      <c r="G40" s="64" t="s">
        <v>321</v>
      </c>
      <c r="H40" s="64" t="s">
        <v>321</v>
      </c>
      <c r="I40" s="58"/>
    </row>
    <row r="41" spans="1:13" ht="12.75" customHeight="1" x14ac:dyDescent="0.2">
      <c r="A41" s="108">
        <v>1</v>
      </c>
      <c r="B41" s="109" t="s">
        <v>24</v>
      </c>
      <c r="C41" s="110" t="s">
        <v>27</v>
      </c>
      <c r="D41" s="111">
        <v>20</v>
      </c>
      <c r="E41" s="111">
        <v>0.69371972846273344</v>
      </c>
      <c r="F41" s="112">
        <v>1.257618216400358E-2</v>
      </c>
      <c r="G41" s="112">
        <v>0.69371972846273344</v>
      </c>
      <c r="H41" s="112">
        <v>39.010697729988514</v>
      </c>
      <c r="I41" s="58"/>
      <c r="L41" s="243"/>
      <c r="M41" s="243"/>
    </row>
    <row r="42" spans="1:13" ht="12.75" customHeight="1" x14ac:dyDescent="0.2">
      <c r="A42" s="114">
        <v>2</v>
      </c>
      <c r="B42" s="115" t="s">
        <v>29</v>
      </c>
      <c r="C42" s="116" t="s">
        <v>27</v>
      </c>
      <c r="D42" s="117">
        <v>40</v>
      </c>
      <c r="E42" s="117">
        <v>1.3698938740860227</v>
      </c>
      <c r="F42" s="118">
        <v>-1.8645837631430795E-2</v>
      </c>
      <c r="G42" s="118">
        <v>1.3698938740860227</v>
      </c>
      <c r="H42" s="118">
        <v>73.714902489066759</v>
      </c>
      <c r="I42" s="58"/>
    </row>
    <row r="43" spans="1:13" ht="12.75" customHeight="1" x14ac:dyDescent="0.2">
      <c r="A43" s="114">
        <v>3</v>
      </c>
      <c r="B43" s="115" t="s">
        <v>30</v>
      </c>
      <c r="C43" s="116" t="s">
        <v>27</v>
      </c>
      <c r="D43" s="117">
        <v>80</v>
      </c>
      <c r="E43" s="117">
        <v>2.7485716066184356</v>
      </c>
      <c r="F43" s="118">
        <v>-1.3450459218544708E-3</v>
      </c>
      <c r="G43" s="118">
        <v>2.7485716066184356</v>
      </c>
      <c r="H43" s="118">
        <v>137.54195520314667</v>
      </c>
      <c r="I43" s="58"/>
      <c r="L43" s="243"/>
      <c r="M43" s="243"/>
    </row>
    <row r="44" spans="1:13" ht="12.75" customHeight="1" x14ac:dyDescent="0.2">
      <c r="A44" s="114">
        <v>4</v>
      </c>
      <c r="B44" s="115" t="s">
        <v>31</v>
      </c>
      <c r="C44" s="116" t="s">
        <v>27</v>
      </c>
      <c r="D44" s="117">
        <v>120</v>
      </c>
      <c r="E44" s="117">
        <v>4.1266369493860928</v>
      </c>
      <c r="F44" s="118">
        <v>3.9115598440409016E-3</v>
      </c>
      <c r="G44" s="118">
        <v>4.1266369493860928</v>
      </c>
      <c r="H44" s="118">
        <v>194.96952132703973</v>
      </c>
      <c r="I44" s="58"/>
    </row>
    <row r="45" spans="1:13" ht="12.75" customHeight="1" x14ac:dyDescent="0.2">
      <c r="A45" s="114">
        <v>5</v>
      </c>
      <c r="B45" s="115" t="s">
        <v>32</v>
      </c>
      <c r="C45" s="116" t="s">
        <v>27</v>
      </c>
      <c r="D45" s="117">
        <v>160</v>
      </c>
      <c r="E45" s="117">
        <v>5.50659365464002</v>
      </c>
      <c r="F45" s="118">
        <v>7.721964280907323E-3</v>
      </c>
      <c r="G45" s="118">
        <v>5.50659365464002</v>
      </c>
      <c r="H45" s="118">
        <v>244.80883722135221</v>
      </c>
      <c r="I45" s="58"/>
      <c r="L45" s="243"/>
      <c r="M45" s="243"/>
    </row>
    <row r="46" spans="1:13" ht="12.75" customHeight="1" x14ac:dyDescent="0.2">
      <c r="A46" s="119">
        <v>6</v>
      </c>
      <c r="B46" s="120" t="s">
        <v>33</v>
      </c>
      <c r="C46" s="121" t="s">
        <v>27</v>
      </c>
      <c r="D46" s="122">
        <v>200</v>
      </c>
      <c r="E46" s="122">
        <v>6.8555040667028484</v>
      </c>
      <c r="F46" s="123">
        <v>-5.5149396525222549E-3</v>
      </c>
      <c r="G46" s="123">
        <v>6.8555040667028484</v>
      </c>
      <c r="H46" s="123">
        <v>291.08616775672783</v>
      </c>
      <c r="I46" s="58"/>
    </row>
    <row r="47" spans="1:13" ht="12.75" customHeight="1" x14ac:dyDescent="0.2">
      <c r="A47" s="41"/>
      <c r="B47" s="41"/>
      <c r="C47" s="41"/>
      <c r="D47" s="41"/>
      <c r="E47" s="41"/>
      <c r="F47" s="41"/>
      <c r="G47" s="41"/>
      <c r="H47" s="41"/>
      <c r="I47" s="41"/>
      <c r="J47" s="41"/>
    </row>
  </sheetData>
  <mergeCells count="4">
    <mergeCell ref="L41:M41"/>
    <mergeCell ref="A1:H1"/>
    <mergeCell ref="L43:M43"/>
    <mergeCell ref="L45:M45"/>
  </mergeCells>
  <pageMargins left="0.77986109999999997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6"/>
  <sheetViews>
    <sheetView showOutlineSymbols="0" zoomScaleNormal="100" zoomScaleSheetLayoutView="100" workbookViewId="0">
      <selection activeCell="C1" sqref="A1:H1"/>
    </sheetView>
  </sheetViews>
  <sheetFormatPr defaultColWidth="9.140625" defaultRowHeight="12.75" customHeight="1" x14ac:dyDescent="0.2"/>
  <cols>
    <col min="1" max="1" width="5.28515625" customWidth="1"/>
    <col min="2" max="2" width="21.140625" customWidth="1"/>
    <col min="3" max="3" width="16" customWidth="1"/>
    <col min="4" max="4" width="11" customWidth="1"/>
    <col min="5" max="5" width="9.28515625" customWidth="1"/>
    <col min="6" max="6" width="15.42578125" customWidth="1"/>
    <col min="7" max="7" width="15.140625" customWidth="1"/>
    <col min="8" max="8" width="12.7109375" customWidth="1"/>
    <col min="9" max="9" width="1.7109375" customWidth="1"/>
  </cols>
  <sheetData>
    <row r="1" spans="1:8" ht="17.25" customHeight="1" x14ac:dyDescent="0.2">
      <c r="A1" s="240" t="s">
        <v>343</v>
      </c>
      <c r="B1" s="241"/>
      <c r="C1" s="241"/>
      <c r="D1" s="241"/>
      <c r="E1" s="241"/>
      <c r="F1" s="241"/>
      <c r="G1" s="241"/>
      <c r="H1" s="242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ht="12.75" customHeight="1" x14ac:dyDescent="0.2">
      <c r="A3" s="124" t="s">
        <v>15</v>
      </c>
      <c r="B3" s="125"/>
      <c r="C3" s="125"/>
      <c r="D3" s="125"/>
      <c r="E3" s="125"/>
      <c r="F3" s="125"/>
      <c r="G3" s="126"/>
      <c r="H3" s="127"/>
    </row>
    <row r="4" spans="1:8" ht="12.75" customHeight="1" x14ac:dyDescent="0.2">
      <c r="A4" s="128" t="s">
        <v>38</v>
      </c>
      <c r="B4" s="129"/>
      <c r="C4" s="130" t="s">
        <v>24</v>
      </c>
      <c r="D4" s="131"/>
      <c r="E4" s="131"/>
      <c r="F4" s="129" t="s">
        <v>40</v>
      </c>
      <c r="G4" s="132">
        <v>0.45</v>
      </c>
      <c r="H4" s="133"/>
    </row>
    <row r="5" spans="1:8" ht="12.75" customHeight="1" x14ac:dyDescent="0.2">
      <c r="A5" s="134" t="s">
        <v>41</v>
      </c>
      <c r="B5" s="135"/>
      <c r="C5" s="136" t="s">
        <v>25</v>
      </c>
      <c r="D5" s="137"/>
      <c r="E5" s="137"/>
      <c r="F5" s="135" t="s">
        <v>42</v>
      </c>
      <c r="G5" s="132">
        <v>2</v>
      </c>
      <c r="H5" s="133"/>
    </row>
    <row r="6" spans="1:8" s="3" customFormat="1" ht="12.75" customHeight="1" x14ac:dyDescent="0.2">
      <c r="A6" s="134" t="s">
        <v>43</v>
      </c>
      <c r="B6" s="135"/>
      <c r="C6" s="136" t="s">
        <v>26</v>
      </c>
      <c r="D6" s="137"/>
      <c r="E6" s="137"/>
      <c r="F6" s="135" t="s">
        <v>44</v>
      </c>
      <c r="G6" s="136" t="s">
        <v>342</v>
      </c>
      <c r="H6" s="138"/>
    </row>
    <row r="7" spans="1:8" ht="12" customHeight="1" x14ac:dyDescent="0.2">
      <c r="A7" s="134" t="s">
        <v>46</v>
      </c>
      <c r="B7" s="135"/>
      <c r="C7" s="136" t="s">
        <v>27</v>
      </c>
      <c r="D7" s="137"/>
      <c r="E7" s="137"/>
      <c r="F7" s="135" t="s">
        <v>47</v>
      </c>
      <c r="G7" s="136">
        <v>244</v>
      </c>
      <c r="H7" s="139"/>
    </row>
    <row r="8" spans="1:8" ht="12" customHeight="1" x14ac:dyDescent="0.2">
      <c r="A8" s="134" t="s">
        <v>49</v>
      </c>
      <c r="B8" s="135"/>
      <c r="C8" s="136" t="s">
        <v>344</v>
      </c>
      <c r="D8" s="137"/>
      <c r="E8" s="137"/>
      <c r="F8" s="135" t="s">
        <v>50</v>
      </c>
      <c r="G8" s="136">
        <v>4</v>
      </c>
      <c r="H8" s="138"/>
    </row>
    <row r="9" spans="1:8" ht="12" customHeight="1" x14ac:dyDescent="0.2">
      <c r="A9" s="134" t="s">
        <v>51</v>
      </c>
      <c r="B9" s="135"/>
      <c r="C9" s="136" t="s">
        <v>344</v>
      </c>
      <c r="D9" s="137"/>
      <c r="E9" s="137"/>
      <c r="F9" s="135" t="s">
        <v>53</v>
      </c>
      <c r="G9" s="140">
        <v>1</v>
      </c>
      <c r="H9" s="141"/>
    </row>
    <row r="10" spans="1:8" ht="12" customHeight="1" x14ac:dyDescent="0.2">
      <c r="A10" s="142" t="s">
        <v>54</v>
      </c>
      <c r="B10" s="143"/>
      <c r="C10" s="144">
        <v>44754.551724537036</v>
      </c>
      <c r="D10" s="145"/>
      <c r="E10" s="145"/>
      <c r="F10" s="143" t="s">
        <v>55</v>
      </c>
      <c r="G10" s="146">
        <v>1</v>
      </c>
      <c r="H10" s="147"/>
    </row>
    <row r="11" spans="1:8" ht="12" customHeight="1" x14ac:dyDescent="0.2">
      <c r="A11" s="18"/>
      <c r="B11" s="18"/>
      <c r="C11" s="51"/>
      <c r="D11" s="2"/>
      <c r="E11" s="2"/>
      <c r="F11" s="18"/>
      <c r="G11" s="18"/>
      <c r="H11" s="46"/>
    </row>
    <row r="12" spans="1:8" s="4" customFormat="1" ht="15.75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39" spans="1:9" ht="15" customHeight="1" x14ac:dyDescent="0.2">
      <c r="A39" s="148" t="s">
        <v>345</v>
      </c>
      <c r="B39" s="149"/>
      <c r="C39" s="149"/>
      <c r="D39" s="149"/>
      <c r="E39" s="149"/>
      <c r="F39" s="149"/>
      <c r="G39" s="149"/>
      <c r="H39" s="150"/>
    </row>
    <row r="40" spans="1:9" ht="12.75" customHeight="1" x14ac:dyDescent="0.2">
      <c r="A40" s="55" t="s">
        <v>58</v>
      </c>
      <c r="B40" s="56" t="s">
        <v>59</v>
      </c>
      <c r="C40" s="57" t="s">
        <v>346</v>
      </c>
      <c r="D40" s="57" t="s">
        <v>347</v>
      </c>
      <c r="E40" s="57" t="s">
        <v>348</v>
      </c>
      <c r="F40" s="57" t="s">
        <v>349</v>
      </c>
      <c r="G40" s="57" t="s">
        <v>350</v>
      </c>
      <c r="H40" s="57" t="s">
        <v>351</v>
      </c>
      <c r="I40" s="58"/>
    </row>
    <row r="41" spans="1:9" ht="12.75" customHeight="1" x14ac:dyDescent="0.2">
      <c r="A41" s="59" t="s">
        <v>23</v>
      </c>
      <c r="B41" s="60" t="s">
        <v>23</v>
      </c>
      <c r="C41" s="61" t="s">
        <v>67</v>
      </c>
      <c r="D41" s="61" t="s">
        <v>67</v>
      </c>
      <c r="E41" s="61" t="s">
        <v>23</v>
      </c>
      <c r="F41" s="61" t="s">
        <v>23</v>
      </c>
      <c r="G41" s="61" t="s">
        <v>23</v>
      </c>
      <c r="H41" s="61" t="s">
        <v>23</v>
      </c>
      <c r="I41" s="58"/>
    </row>
    <row r="42" spans="1:9" ht="12.75" hidden="1" customHeight="1" x14ac:dyDescent="0.2">
      <c r="A42" s="62" t="s">
        <v>342</v>
      </c>
      <c r="B42" s="63" t="s">
        <v>342</v>
      </c>
      <c r="C42" s="64" t="s">
        <v>342</v>
      </c>
      <c r="D42" s="64" t="s">
        <v>342</v>
      </c>
      <c r="E42" s="64" t="s">
        <v>342</v>
      </c>
      <c r="F42" s="64" t="s">
        <v>342</v>
      </c>
      <c r="G42" s="64" t="s">
        <v>342</v>
      </c>
      <c r="H42" s="64" t="s">
        <v>342</v>
      </c>
      <c r="I42" s="58"/>
    </row>
    <row r="43" spans="1:9" ht="12.75" customHeight="1" x14ac:dyDescent="0.2">
      <c r="A43" s="65">
        <v>1</v>
      </c>
      <c r="B43" s="109" t="s">
        <v>321</v>
      </c>
      <c r="C43" s="151">
        <v>0.17016666666666666</v>
      </c>
      <c r="D43" s="152">
        <v>1.6292151898436691E-2</v>
      </c>
      <c r="E43" s="153" t="s">
        <v>352</v>
      </c>
      <c r="F43" s="154">
        <v>2.720316315062699</v>
      </c>
      <c r="G43" s="154">
        <v>1.4765908837209638</v>
      </c>
      <c r="H43" s="153">
        <v>604</v>
      </c>
    </row>
    <row r="44" spans="1:9" ht="12.75" customHeight="1" x14ac:dyDescent="0.2">
      <c r="A44" s="71">
        <v>2</v>
      </c>
      <c r="B44" s="115" t="s">
        <v>192</v>
      </c>
      <c r="C44" s="155">
        <v>0.24583333333333332</v>
      </c>
      <c r="D44" s="156">
        <v>1.6530011528763405E-2</v>
      </c>
      <c r="E44" s="157" t="s">
        <v>353</v>
      </c>
      <c r="F44" s="158">
        <v>4.0274807738049265</v>
      </c>
      <c r="G44" s="158">
        <v>1.4326622856285074</v>
      </c>
      <c r="H44" s="157">
        <v>1225</v>
      </c>
    </row>
    <row r="45" spans="1:9" ht="12.75" customHeight="1" x14ac:dyDescent="0.2">
      <c r="A45" s="77">
        <v>3</v>
      </c>
      <c r="B45" s="120" t="s">
        <v>354</v>
      </c>
      <c r="C45" s="159">
        <v>0.36283333333333334</v>
      </c>
      <c r="D45" s="160">
        <v>1.7749481721199167E-2</v>
      </c>
      <c r="E45" s="161" t="s">
        <v>352</v>
      </c>
      <c r="F45" s="162" t="s">
        <v>48</v>
      </c>
      <c r="G45" s="162">
        <v>1.3521904745949285</v>
      </c>
      <c r="H45" s="161">
        <v>2315</v>
      </c>
    </row>
    <row r="46" spans="1:9" ht="12.75" customHeight="1" x14ac:dyDescent="0.2">
      <c r="A46" s="41"/>
      <c r="B46" s="41"/>
      <c r="C46" s="41"/>
      <c r="D46" s="41"/>
      <c r="E46" s="41"/>
      <c r="F46" s="41"/>
      <c r="G46" s="41"/>
      <c r="H46" s="41"/>
      <c r="I46" s="41"/>
    </row>
  </sheetData>
  <mergeCells count="1">
    <mergeCell ref="A1:H1"/>
  </mergeCells>
  <pageMargins left="0.77986109999999997" right="0.50972220000000001" top="0.99027779999999999" bottom="0.8" header="0.5" footer="0.5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1"/>
  <sheetViews>
    <sheetView zoomScaleNormal="100" zoomScaleSheetLayoutView="100" workbookViewId="0">
      <selection activeCell="C1" sqref="A1:F1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31" customWidth="1"/>
    <col min="4" max="4" width="12.5703125" customWidth="1"/>
    <col min="5" max="5" width="15.42578125" customWidth="1"/>
    <col min="6" max="6" width="14.7109375" customWidth="1"/>
    <col min="7" max="7" width="1.5703125" customWidth="1"/>
  </cols>
  <sheetData>
    <row r="1" spans="1:9" ht="21" x14ac:dyDescent="0.2">
      <c r="A1" s="244" t="s">
        <v>355</v>
      </c>
      <c r="B1" s="245"/>
      <c r="C1" s="245"/>
      <c r="D1" s="245"/>
      <c r="E1" s="245"/>
      <c r="F1" s="246"/>
    </row>
    <row r="2" spans="1:9" s="1" customFormat="1" x14ac:dyDescent="0.2">
      <c r="A2" s="5"/>
      <c r="B2" s="6"/>
      <c r="C2" s="6"/>
      <c r="D2" s="163"/>
      <c r="E2" s="6"/>
      <c r="F2" s="7"/>
    </row>
    <row r="3" spans="1:9" s="1" customFormat="1" ht="15.75" x14ac:dyDescent="0.2">
      <c r="A3" s="8" t="s">
        <v>15</v>
      </c>
      <c r="B3" s="9"/>
      <c r="C3" s="9"/>
      <c r="D3" s="164"/>
      <c r="E3" s="9"/>
      <c r="F3" s="165"/>
      <c r="G3" s="166"/>
      <c r="H3" s="166"/>
    </row>
    <row r="4" spans="1:9" s="2" customFormat="1" ht="12.75" customHeight="1" x14ac:dyDescent="0.2">
      <c r="A4" s="167" t="s">
        <v>38</v>
      </c>
      <c r="B4" s="168"/>
      <c r="C4" s="169" t="s">
        <v>24</v>
      </c>
      <c r="D4" s="170"/>
      <c r="E4" s="168" t="s">
        <v>40</v>
      </c>
      <c r="F4" s="171">
        <v>0.45</v>
      </c>
      <c r="G4" s="172"/>
      <c r="H4" s="172"/>
      <c r="I4" s="173"/>
    </row>
    <row r="5" spans="1:9" s="1" customFormat="1" ht="12.75" customHeight="1" x14ac:dyDescent="0.2">
      <c r="A5" s="174" t="s">
        <v>41</v>
      </c>
      <c r="B5" s="175"/>
      <c r="C5" s="176" t="s">
        <v>25</v>
      </c>
      <c r="D5" s="177"/>
      <c r="E5" s="175" t="s">
        <v>42</v>
      </c>
      <c r="F5" s="178">
        <v>2</v>
      </c>
      <c r="G5" s="172"/>
      <c r="H5" s="172"/>
      <c r="I5" s="179"/>
    </row>
    <row r="6" spans="1:9" s="1" customFormat="1" ht="12.75" customHeight="1" x14ac:dyDescent="0.2">
      <c r="A6" s="174" t="s">
        <v>43</v>
      </c>
      <c r="B6" s="175"/>
      <c r="C6" s="176" t="s">
        <v>26</v>
      </c>
      <c r="D6" s="177"/>
      <c r="E6" s="175" t="s">
        <v>44</v>
      </c>
      <c r="F6" s="180" t="s">
        <v>342</v>
      </c>
      <c r="G6" s="181"/>
      <c r="H6" s="181"/>
      <c r="I6" s="179"/>
    </row>
    <row r="7" spans="1:9" s="1" customFormat="1" ht="12.75" customHeight="1" x14ac:dyDescent="0.2">
      <c r="A7" s="174" t="s">
        <v>46</v>
      </c>
      <c r="B7" s="175"/>
      <c r="C7" s="176" t="s">
        <v>27</v>
      </c>
      <c r="D7" s="177"/>
      <c r="E7" s="175" t="s">
        <v>47</v>
      </c>
      <c r="F7" s="180">
        <v>244</v>
      </c>
      <c r="G7" s="181"/>
      <c r="H7" s="182"/>
      <c r="I7" s="179"/>
    </row>
    <row r="8" spans="1:9" s="1" customFormat="1" ht="12.75" customHeight="1" x14ac:dyDescent="0.2">
      <c r="A8" s="174" t="s">
        <v>49</v>
      </c>
      <c r="B8" s="175"/>
      <c r="C8" s="176" t="s">
        <v>344</v>
      </c>
      <c r="D8" s="177"/>
      <c r="E8" s="175" t="s">
        <v>50</v>
      </c>
      <c r="F8" s="180">
        <v>4</v>
      </c>
      <c r="G8" s="181"/>
      <c r="H8" s="181"/>
      <c r="I8" s="179"/>
    </row>
    <row r="9" spans="1:9" s="1" customFormat="1" ht="12.75" customHeight="1" x14ac:dyDescent="0.2">
      <c r="A9" s="174" t="s">
        <v>51</v>
      </c>
      <c r="B9" s="175"/>
      <c r="C9" s="176" t="s">
        <v>344</v>
      </c>
      <c r="D9" s="177"/>
      <c r="E9" s="175" t="s">
        <v>53</v>
      </c>
      <c r="F9" s="183">
        <v>1</v>
      </c>
      <c r="G9" s="184"/>
      <c r="H9" s="184"/>
      <c r="I9" s="179"/>
    </row>
    <row r="10" spans="1:9" s="2" customFormat="1" ht="12.75" customHeight="1" x14ac:dyDescent="0.2">
      <c r="A10" s="185" t="s">
        <v>54</v>
      </c>
      <c r="B10" s="186"/>
      <c r="C10" s="187">
        <v>44754.551724537036</v>
      </c>
      <c r="D10" s="188"/>
      <c r="E10" s="186" t="s">
        <v>55</v>
      </c>
      <c r="F10" s="189">
        <v>1</v>
      </c>
      <c r="G10" s="184"/>
      <c r="H10" s="184"/>
      <c r="I10" s="173"/>
    </row>
    <row r="11" spans="1:9" s="2" customFormat="1" ht="12.75" customHeight="1" x14ac:dyDescent="0.2">
      <c r="A11" s="18"/>
      <c r="B11" s="18"/>
      <c r="C11" s="51"/>
      <c r="E11" s="18"/>
      <c r="F11" s="18"/>
      <c r="G11" s="190"/>
      <c r="H11" s="190"/>
    </row>
    <row r="12" spans="1:9" s="2" customFormat="1" ht="12.75" customHeight="1" x14ac:dyDescent="0.2">
      <c r="A12" s="29" t="s">
        <v>56</v>
      </c>
      <c r="B12" s="30"/>
      <c r="C12" s="30"/>
      <c r="D12" s="191"/>
      <c r="E12" s="30"/>
      <c r="F12" s="31"/>
    </row>
    <row r="13" spans="1:9" s="2" customFormat="1" ht="12.75" customHeight="1" x14ac:dyDescent="0.2">
      <c r="A13"/>
      <c r="B13"/>
      <c r="C13"/>
      <c r="D13"/>
      <c r="E13"/>
      <c r="F13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7" ht="12.75" customHeight="1" x14ac:dyDescent="0.2"/>
    <row r="34" spans="1:7" ht="12.75" customHeight="1" x14ac:dyDescent="0.2"/>
    <row r="35" spans="1:7" ht="12.75" customHeight="1" x14ac:dyDescent="0.2"/>
    <row r="36" spans="1:7" ht="12.75" customHeight="1" x14ac:dyDescent="0.2"/>
    <row r="37" spans="1:7" ht="12.75" customHeight="1" x14ac:dyDescent="0.2"/>
    <row r="38" spans="1:7" ht="12.75" customHeight="1" x14ac:dyDescent="0.2"/>
    <row r="39" spans="1:7" ht="15.75" x14ac:dyDescent="0.2">
      <c r="A39" s="29" t="s">
        <v>356</v>
      </c>
      <c r="B39" s="30"/>
      <c r="C39" s="30"/>
      <c r="D39" s="191"/>
      <c r="E39" s="30"/>
      <c r="F39" s="31"/>
    </row>
    <row r="40" spans="1:7" x14ac:dyDescent="0.2">
      <c r="A40" s="192" t="s">
        <v>58</v>
      </c>
      <c r="B40" s="192" t="s">
        <v>357</v>
      </c>
      <c r="C40" s="192" t="s">
        <v>358</v>
      </c>
      <c r="D40" s="192" t="s">
        <v>359</v>
      </c>
      <c r="E40" s="193" t="s">
        <v>360</v>
      </c>
      <c r="F40" s="192" t="s">
        <v>361</v>
      </c>
      <c r="G40" s="58"/>
    </row>
    <row r="41" spans="1:7" x14ac:dyDescent="0.2">
      <c r="A41" s="194">
        <v>1</v>
      </c>
      <c r="B41" s="195" t="s">
        <v>362</v>
      </c>
      <c r="C41" s="195" t="s">
        <v>363</v>
      </c>
      <c r="D41" s="195" t="s">
        <v>364</v>
      </c>
      <c r="E41" s="196" t="s">
        <v>365</v>
      </c>
      <c r="F41" s="195" t="s">
        <v>24</v>
      </c>
    </row>
    <row r="42" spans="1:7" x14ac:dyDescent="0.2">
      <c r="A42" s="194">
        <v>2</v>
      </c>
      <c r="B42" s="195" t="s">
        <v>366</v>
      </c>
      <c r="C42" s="195" t="s">
        <v>367</v>
      </c>
      <c r="D42" s="195" t="s">
        <v>321</v>
      </c>
      <c r="E42" s="196" t="s">
        <v>365</v>
      </c>
      <c r="F42" s="195" t="s">
        <v>24</v>
      </c>
    </row>
    <row r="43" spans="1:7" x14ac:dyDescent="0.2">
      <c r="A43" s="194">
        <v>3</v>
      </c>
      <c r="B43" s="195" t="s">
        <v>368</v>
      </c>
      <c r="C43" s="195" t="s">
        <v>369</v>
      </c>
      <c r="D43" s="195" t="s">
        <v>370</v>
      </c>
      <c r="E43" s="196" t="s">
        <v>365</v>
      </c>
      <c r="F43" s="195" t="s">
        <v>24</v>
      </c>
    </row>
    <row r="44" spans="1:7" x14ac:dyDescent="0.2">
      <c r="A44" s="194">
        <v>4</v>
      </c>
      <c r="B44" s="195" t="s">
        <v>371</v>
      </c>
      <c r="C44" s="195" t="s">
        <v>363</v>
      </c>
      <c r="D44" s="195" t="s">
        <v>372</v>
      </c>
      <c r="E44" s="196" t="s">
        <v>365</v>
      </c>
      <c r="F44" s="195" t="s">
        <v>24</v>
      </c>
    </row>
    <row r="45" spans="1:7" x14ac:dyDescent="0.2">
      <c r="A45" s="194" t="s">
        <v>23</v>
      </c>
      <c r="B45" s="195" t="s">
        <v>23</v>
      </c>
      <c r="C45" s="195" t="s">
        <v>23</v>
      </c>
      <c r="D45" s="195" t="s">
        <v>23</v>
      </c>
      <c r="E45" s="196" t="s">
        <v>23</v>
      </c>
      <c r="F45" s="195" t="s">
        <v>24</v>
      </c>
    </row>
    <row r="46" spans="1:7" x14ac:dyDescent="0.2">
      <c r="A46" s="194" t="s">
        <v>23</v>
      </c>
      <c r="B46" s="195" t="s">
        <v>23</v>
      </c>
      <c r="C46" s="195" t="s">
        <v>23</v>
      </c>
      <c r="D46" s="195" t="s">
        <v>23</v>
      </c>
      <c r="E46" s="196" t="s">
        <v>23</v>
      </c>
      <c r="F46" s="195" t="s">
        <v>24</v>
      </c>
    </row>
    <row r="47" spans="1:7" x14ac:dyDescent="0.2">
      <c r="A47" s="194">
        <v>5</v>
      </c>
      <c r="B47" s="195" t="s">
        <v>373</v>
      </c>
      <c r="C47" s="195" t="s">
        <v>374</v>
      </c>
      <c r="D47" s="195" t="s">
        <v>23</v>
      </c>
      <c r="E47" s="196" t="s">
        <v>365</v>
      </c>
      <c r="F47" s="195" t="s">
        <v>24</v>
      </c>
    </row>
    <row r="48" spans="1:7" x14ac:dyDescent="0.2">
      <c r="A48" s="194">
        <v>6</v>
      </c>
      <c r="B48" s="195" t="s">
        <v>375</v>
      </c>
      <c r="C48" s="195" t="s">
        <v>376</v>
      </c>
      <c r="D48" s="195" t="s">
        <v>372</v>
      </c>
      <c r="E48" s="196" t="s">
        <v>365</v>
      </c>
      <c r="F48" s="195" t="s">
        <v>24</v>
      </c>
    </row>
    <row r="49" spans="1:6" x14ac:dyDescent="0.2">
      <c r="A49" s="194" t="s">
        <v>23</v>
      </c>
      <c r="B49" s="195" t="s">
        <v>23</v>
      </c>
      <c r="C49" s="195" t="s">
        <v>23</v>
      </c>
      <c r="D49" s="195" t="s">
        <v>23</v>
      </c>
      <c r="E49" s="196" t="s">
        <v>23</v>
      </c>
      <c r="F49" s="195" t="s">
        <v>24</v>
      </c>
    </row>
    <row r="50" spans="1:6" x14ac:dyDescent="0.2">
      <c r="A50" s="194" t="s">
        <v>23</v>
      </c>
      <c r="B50" s="195" t="s">
        <v>23</v>
      </c>
      <c r="C50" s="195" t="s">
        <v>23</v>
      </c>
      <c r="D50" s="195" t="s">
        <v>23</v>
      </c>
      <c r="E50" s="196" t="s">
        <v>23</v>
      </c>
      <c r="F50" s="195" t="s">
        <v>24</v>
      </c>
    </row>
    <row r="51" spans="1:6" ht="17.25" customHeight="1" x14ac:dyDescent="0.2">
      <c r="A51" s="83"/>
      <c r="B51" s="197" t="s">
        <v>377</v>
      </c>
      <c r="C51" s="198">
        <f ca="1">IF(AND(E41="n.a.",INDIRECT(ADDRESS(ROW(E41)+1,COLUMN(E41)))="n.a."),"n.a.",ROWS(E41:E50)-COUNTIF(E41:E50,"Not Executed")-COUNTIF(E41:E50,"n.a.")-COUNTIF(E41:E50,""))</f>
        <v>0</v>
      </c>
      <c r="D51" s="199" t="s">
        <v>378</v>
      </c>
      <c r="E51" s="200" t="s">
        <v>365</v>
      </c>
      <c r="F51" s="201"/>
    </row>
  </sheetData>
  <mergeCells count="1">
    <mergeCell ref="A1:F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1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7.5703125" style="113" customWidth="1"/>
    <col min="2" max="2" width="22" style="2" customWidth="1"/>
    <col min="3" max="3" width="13.28515625" style="113" customWidth="1"/>
    <col min="4" max="6" width="12.85546875" style="113" customWidth="1"/>
    <col min="7" max="7" width="17.5703125" style="113" customWidth="1"/>
    <col min="8" max="8" width="12.85546875" style="113" customWidth="1"/>
    <col min="9" max="9" width="11.28515625" customWidth="1"/>
  </cols>
  <sheetData>
    <row r="1" spans="1:8" ht="21" x14ac:dyDescent="0.2">
      <c r="A1" s="240" t="s">
        <v>379</v>
      </c>
      <c r="B1" s="241"/>
      <c r="C1" s="241"/>
      <c r="D1" s="241"/>
      <c r="E1" s="241"/>
      <c r="F1" s="241"/>
      <c r="G1" s="241"/>
      <c r="H1" s="242"/>
    </row>
    <row r="2" spans="1:8" ht="13.9" customHeight="1" x14ac:dyDescent="0.2">
      <c r="A2" s="202"/>
      <c r="B2" s="203"/>
      <c r="C2" s="203"/>
      <c r="D2" s="203"/>
      <c r="E2" s="203"/>
      <c r="F2" s="203"/>
      <c r="G2" s="203"/>
      <c r="H2" s="204"/>
    </row>
    <row r="3" spans="1:8" ht="12.75" customHeight="1" x14ac:dyDescent="0.2">
      <c r="A3" s="29" t="s">
        <v>1</v>
      </c>
      <c r="B3" s="30"/>
      <c r="C3" s="30"/>
      <c r="D3" s="30"/>
      <c r="E3" s="30"/>
      <c r="F3" s="30"/>
      <c r="G3" s="30"/>
      <c r="H3" s="31"/>
    </row>
    <row r="4" spans="1:8" ht="12.75" customHeight="1" x14ac:dyDescent="0.2">
      <c r="A4" s="17" t="s">
        <v>2</v>
      </c>
      <c r="B4" s="18"/>
      <c r="C4" s="130" t="s">
        <v>3</v>
      </c>
      <c r="D4" s="2"/>
      <c r="E4" s="2"/>
      <c r="F4" s="18" t="s">
        <v>4</v>
      </c>
      <c r="G4" s="205">
        <v>42865.586736805555</v>
      </c>
      <c r="H4" s="21"/>
    </row>
    <row r="5" spans="1:8" ht="12.75" customHeight="1" x14ac:dyDescent="0.2">
      <c r="A5" s="17" t="s">
        <v>5</v>
      </c>
      <c r="B5" s="18"/>
      <c r="C5" s="136" t="s">
        <v>6</v>
      </c>
      <c r="D5" s="2"/>
      <c r="E5" s="2"/>
      <c r="F5" s="18" t="s">
        <v>7</v>
      </c>
      <c r="G5" s="138" t="s">
        <v>8</v>
      </c>
      <c r="H5" s="20"/>
    </row>
    <row r="6" spans="1:8" ht="12.75" customHeight="1" x14ac:dyDescent="0.2">
      <c r="A6" s="17" t="s">
        <v>9</v>
      </c>
      <c r="B6" s="18"/>
      <c r="C6" s="136" t="s">
        <v>10</v>
      </c>
      <c r="D6" s="2"/>
      <c r="E6" s="2"/>
      <c r="F6" s="18" t="s">
        <v>11</v>
      </c>
      <c r="G6" s="206">
        <v>45015.525102340107</v>
      </c>
      <c r="H6" s="21"/>
    </row>
    <row r="7" spans="1:8" ht="12.75" customHeight="1" x14ac:dyDescent="0.2">
      <c r="A7" s="22" t="s">
        <v>12</v>
      </c>
      <c r="B7" s="23"/>
      <c r="C7" s="207">
        <v>7</v>
      </c>
      <c r="D7" s="25"/>
      <c r="E7" s="25"/>
      <c r="F7" s="23" t="s">
        <v>13</v>
      </c>
      <c r="G7" s="208" t="s">
        <v>14</v>
      </c>
      <c r="H7" s="26"/>
    </row>
    <row r="8" spans="1:8" ht="12.75" customHeight="1" x14ac:dyDescent="0.2">
      <c r="A8" s="209"/>
      <c r="B8"/>
      <c r="C8"/>
      <c r="D8"/>
      <c r="E8"/>
      <c r="F8"/>
      <c r="G8"/>
      <c r="H8" s="210"/>
    </row>
    <row r="9" spans="1:8" ht="13.9" customHeight="1" x14ac:dyDescent="0.25">
      <c r="A9" s="29" t="s">
        <v>380</v>
      </c>
      <c r="B9" s="30"/>
      <c r="C9" s="211" t="s">
        <v>321</v>
      </c>
      <c r="D9" s="30"/>
      <c r="E9" s="30"/>
      <c r="F9" s="30"/>
      <c r="G9" s="30"/>
      <c r="H9" s="212"/>
    </row>
    <row r="11" spans="1:8" ht="12.75" customHeight="1" x14ac:dyDescent="0.2">
      <c r="A11" s="213" t="s">
        <v>16</v>
      </c>
      <c r="B11" s="213" t="s">
        <v>17</v>
      </c>
      <c r="C11" s="214" t="s">
        <v>346</v>
      </c>
      <c r="D11" s="214" t="s">
        <v>337</v>
      </c>
      <c r="E11" s="214" t="s">
        <v>338</v>
      </c>
      <c r="F11" s="214" t="s">
        <v>381</v>
      </c>
      <c r="G11" s="214" t="s">
        <v>382</v>
      </c>
      <c r="H11" s="214" t="s">
        <v>383</v>
      </c>
    </row>
    <row r="12" spans="1:8" ht="12.75" customHeight="1" x14ac:dyDescent="0.2">
      <c r="A12" s="215" t="s">
        <v>23</v>
      </c>
      <c r="B12" s="215" t="s">
        <v>23</v>
      </c>
      <c r="C12" s="216" t="s">
        <v>67</v>
      </c>
      <c r="D12" s="216" t="s">
        <v>340</v>
      </c>
      <c r="E12" s="216" t="s">
        <v>341</v>
      </c>
      <c r="F12" s="216" t="s">
        <v>339</v>
      </c>
      <c r="G12" s="216" t="s">
        <v>70</v>
      </c>
      <c r="H12" s="216" t="s">
        <v>23</v>
      </c>
    </row>
    <row r="13" spans="1:8" ht="12.75" customHeight="1" x14ac:dyDescent="0.2">
      <c r="A13" s="215" t="s">
        <v>23</v>
      </c>
      <c r="B13" s="215" t="s">
        <v>23</v>
      </c>
      <c r="C13" s="216" t="s">
        <v>342</v>
      </c>
      <c r="D13" s="216" t="s">
        <v>342</v>
      </c>
      <c r="E13" s="216" t="s">
        <v>342</v>
      </c>
      <c r="F13" s="216" t="s">
        <v>342</v>
      </c>
      <c r="G13" s="216" t="s">
        <v>342</v>
      </c>
      <c r="H13" s="216" t="s">
        <v>342</v>
      </c>
    </row>
    <row r="14" spans="1:8" ht="12.75" hidden="1" customHeight="1" x14ac:dyDescent="0.2">
      <c r="A14" s="217" t="s">
        <v>23</v>
      </c>
      <c r="B14" s="217" t="s">
        <v>23</v>
      </c>
      <c r="C14" s="218" t="s">
        <v>321</v>
      </c>
      <c r="D14" s="218" t="s">
        <v>321</v>
      </c>
      <c r="E14" s="218" t="s">
        <v>321</v>
      </c>
      <c r="F14" s="218" t="s">
        <v>321</v>
      </c>
      <c r="G14" s="218" t="s">
        <v>321</v>
      </c>
      <c r="H14" s="218" t="s">
        <v>321</v>
      </c>
    </row>
    <row r="15" spans="1:8" ht="12.75" customHeight="1" x14ac:dyDescent="0.2">
      <c r="A15" s="219">
        <v>1</v>
      </c>
      <c r="B15" s="220" t="s">
        <v>24</v>
      </c>
      <c r="C15" s="221">
        <v>0.17016666666666666</v>
      </c>
      <c r="D15" s="221">
        <v>0.69371972846273344</v>
      </c>
      <c r="E15" s="221">
        <v>39.010697729988514</v>
      </c>
      <c r="F15" s="222">
        <v>20.073314721308105</v>
      </c>
      <c r="G15" s="223">
        <v>32.55243172146043</v>
      </c>
      <c r="H15" s="224" t="s">
        <v>352</v>
      </c>
    </row>
    <row r="16" spans="1:8" ht="12.75" customHeight="1" x14ac:dyDescent="0.2">
      <c r="A16" s="225">
        <v>2</v>
      </c>
      <c r="B16" s="226" t="s">
        <v>29</v>
      </c>
      <c r="C16" s="227">
        <v>0.17166666666666666</v>
      </c>
      <c r="D16" s="227">
        <v>1.3698938740860227</v>
      </c>
      <c r="E16" s="227">
        <v>73.714902489066759</v>
      </c>
      <c r="F16" s="228">
        <v>39.782602641775135</v>
      </c>
      <c r="G16" s="229">
        <v>32.508042696583445</v>
      </c>
      <c r="H16" s="230" t="s">
        <v>352</v>
      </c>
    </row>
    <row r="17" spans="1:8" ht="12.75" customHeight="1" x14ac:dyDescent="0.2">
      <c r="A17" s="219">
        <v>3</v>
      </c>
      <c r="B17" s="220" t="s">
        <v>30</v>
      </c>
      <c r="C17" s="221">
        <v>0.17399999999999999</v>
      </c>
      <c r="D17" s="221">
        <v>2.7485716066184356</v>
      </c>
      <c r="E17" s="221">
        <v>137.54195520314667</v>
      </c>
      <c r="F17" s="222">
        <v>79.96863542031393</v>
      </c>
      <c r="G17" s="223">
        <v>32.353945222991186</v>
      </c>
      <c r="H17" s="224" t="s">
        <v>352</v>
      </c>
    </row>
    <row r="18" spans="1:8" ht="12.75" customHeight="1" x14ac:dyDescent="0.2">
      <c r="A18" s="225">
        <v>4</v>
      </c>
      <c r="B18" s="226" t="s">
        <v>31</v>
      </c>
      <c r="C18" s="227">
        <v>0.17583333333333334</v>
      </c>
      <c r="D18" s="227">
        <v>4.1266369493860928</v>
      </c>
      <c r="E18" s="227">
        <v>194.96952132703973</v>
      </c>
      <c r="F18" s="228">
        <v>120.13681811352892</v>
      </c>
      <c r="G18" s="229">
        <v>32.448615565262642</v>
      </c>
      <c r="H18" s="230" t="s">
        <v>384</v>
      </c>
    </row>
    <row r="19" spans="1:8" ht="12.75" customHeight="1" x14ac:dyDescent="0.2">
      <c r="A19" s="219">
        <v>5</v>
      </c>
      <c r="B19" s="220" t="s">
        <v>32</v>
      </c>
      <c r="C19" s="221">
        <v>0.17816666666666667</v>
      </c>
      <c r="D19" s="221">
        <v>5.50659365464002</v>
      </c>
      <c r="E19" s="221">
        <v>244.80883722135221</v>
      </c>
      <c r="F19" s="222">
        <v>160.36013069901375</v>
      </c>
      <c r="G19" s="223">
        <v>32.488682908825979</v>
      </c>
      <c r="H19" s="224" t="s">
        <v>352</v>
      </c>
    </row>
    <row r="20" spans="1:8" ht="12.75" customHeight="1" x14ac:dyDescent="0.2">
      <c r="A20" s="225">
        <v>6</v>
      </c>
      <c r="B20" s="226" t="s">
        <v>33</v>
      </c>
      <c r="C20" s="227">
        <v>0.17983333333333335</v>
      </c>
      <c r="D20" s="227">
        <v>6.8555040667028484</v>
      </c>
      <c r="E20" s="227">
        <v>291.08616775672783</v>
      </c>
      <c r="F20" s="228">
        <v>199.67849840406021</v>
      </c>
      <c r="G20" s="229">
        <v>32.529867055280562</v>
      </c>
      <c r="H20" s="230" t="s">
        <v>384</v>
      </c>
    </row>
    <row r="21" spans="1:8" ht="12.75" customHeight="1" x14ac:dyDescent="0.2">
      <c r="A21" s="219">
        <v>7</v>
      </c>
      <c r="B21" s="220" t="s">
        <v>34</v>
      </c>
      <c r="C21" s="221">
        <v>0.17150000000000001</v>
      </c>
      <c r="D21" s="221">
        <v>5.223043938916363</v>
      </c>
      <c r="E21" s="221">
        <v>278.09369527080958</v>
      </c>
      <c r="F21" s="222">
        <v>152.09515484458697</v>
      </c>
      <c r="G21" s="223">
        <v>33.291527591809484</v>
      </c>
      <c r="H21" s="224" t="s">
        <v>352</v>
      </c>
    </row>
  </sheetData>
  <mergeCells count="1">
    <mergeCell ref="A1:H1"/>
  </mergeCells>
  <pageMargins left="0.50972220000000001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82"/>
  <sheetViews>
    <sheetView showOutlineSymbols="0" zoomScaleNormal="100" zoomScaleSheetLayoutView="100" workbookViewId="0">
      <selection activeCell="B1" sqref="A1:H1"/>
    </sheetView>
  </sheetViews>
  <sheetFormatPr defaultRowHeight="12.75" customHeight="1" x14ac:dyDescent="0.2"/>
  <cols>
    <col min="2" max="2" width="10.28515625" customWidth="1"/>
    <col min="3" max="3" width="23.5703125" customWidth="1"/>
    <col min="4" max="4" width="16.140625" customWidth="1"/>
    <col min="5" max="5" width="12.140625" customWidth="1"/>
    <col min="6" max="6" width="10.28515625" customWidth="1"/>
    <col min="8" max="8" width="13.5703125" customWidth="1"/>
  </cols>
  <sheetData>
    <row r="1" spans="1:8" ht="21" x14ac:dyDescent="0.2">
      <c r="A1" s="240" t="s">
        <v>385</v>
      </c>
      <c r="B1" s="241"/>
      <c r="C1" s="241"/>
      <c r="D1" s="241"/>
      <c r="E1" s="241"/>
      <c r="F1" s="241"/>
      <c r="G1" s="241"/>
      <c r="H1" s="242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3" customFormat="1" ht="15.6" customHeight="1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ht="13.9" customHeight="1" x14ac:dyDescent="0.2">
      <c r="A4" s="11" t="s">
        <v>38</v>
      </c>
      <c r="B4" s="12"/>
      <c r="C4" s="130" t="s">
        <v>24</v>
      </c>
      <c r="D4" s="14"/>
      <c r="E4" s="12" t="s">
        <v>40</v>
      </c>
      <c r="F4" s="12"/>
      <c r="G4" s="132">
        <v>0.45</v>
      </c>
      <c r="H4" s="44"/>
    </row>
    <row r="5" spans="1:8" ht="13.9" customHeight="1" x14ac:dyDescent="0.2">
      <c r="A5" s="17" t="s">
        <v>41</v>
      </c>
      <c r="B5" s="18"/>
      <c r="C5" s="136" t="s">
        <v>25</v>
      </c>
      <c r="D5" s="2"/>
      <c r="E5" s="18" t="s">
        <v>42</v>
      </c>
      <c r="F5" s="18"/>
      <c r="G5" s="132">
        <v>2</v>
      </c>
      <c r="H5" s="44"/>
    </row>
    <row r="6" spans="1:8" ht="13.9" customHeight="1" x14ac:dyDescent="0.2">
      <c r="A6" s="17" t="s">
        <v>43</v>
      </c>
      <c r="B6" s="18"/>
      <c r="C6" s="136" t="s">
        <v>26</v>
      </c>
      <c r="D6" s="2"/>
      <c r="E6" s="18" t="s">
        <v>44</v>
      </c>
      <c r="F6" s="18"/>
      <c r="G6" s="136" t="s">
        <v>342</v>
      </c>
      <c r="H6" s="20"/>
    </row>
    <row r="7" spans="1:8" ht="13.9" customHeight="1" x14ac:dyDescent="0.2">
      <c r="A7" s="17" t="s">
        <v>46</v>
      </c>
      <c r="B7" s="18"/>
      <c r="C7" s="136" t="s">
        <v>27</v>
      </c>
      <c r="D7" s="2"/>
      <c r="E7" s="18" t="s">
        <v>47</v>
      </c>
      <c r="F7" s="18"/>
      <c r="G7" s="136">
        <v>244</v>
      </c>
      <c r="H7" s="45"/>
    </row>
    <row r="8" spans="1:8" ht="14.45" customHeight="1" x14ac:dyDescent="0.2">
      <c r="A8" s="17" t="s">
        <v>49</v>
      </c>
      <c r="B8" s="18"/>
      <c r="C8" s="136" t="s">
        <v>344</v>
      </c>
      <c r="D8" s="2"/>
      <c r="E8" s="18" t="s">
        <v>50</v>
      </c>
      <c r="F8" s="18"/>
      <c r="G8" s="136">
        <v>4</v>
      </c>
      <c r="H8" s="20"/>
    </row>
    <row r="9" spans="1:8" s="4" customFormat="1" ht="16.899999999999999" customHeight="1" x14ac:dyDescent="0.2">
      <c r="A9" s="17" t="s">
        <v>51</v>
      </c>
      <c r="B9" s="18"/>
      <c r="C9" s="136" t="s">
        <v>344</v>
      </c>
      <c r="D9" s="2"/>
      <c r="E9" s="18" t="s">
        <v>53</v>
      </c>
      <c r="F9" s="18"/>
      <c r="G9" s="140">
        <v>1</v>
      </c>
      <c r="H9" s="47"/>
    </row>
    <row r="10" spans="1:8" s="4" customFormat="1" ht="12.75" customHeight="1" x14ac:dyDescent="0.2">
      <c r="A10" s="22" t="s">
        <v>54</v>
      </c>
      <c r="B10" s="23"/>
      <c r="C10" s="144">
        <v>44754.551724537036</v>
      </c>
      <c r="D10" s="25"/>
      <c r="E10" s="23" t="s">
        <v>55</v>
      </c>
      <c r="F10" s="23"/>
      <c r="G10" s="146">
        <v>1</v>
      </c>
      <c r="H10" s="50"/>
    </row>
    <row r="11" spans="1:8" s="4" customFormat="1" ht="12.75" customHeight="1" x14ac:dyDescent="0.2">
      <c r="A11" s="231"/>
      <c r="B11" s="231"/>
      <c r="C11" s="232"/>
      <c r="F11" s="231"/>
      <c r="G11" s="231"/>
      <c r="H11" s="233"/>
    </row>
    <row r="12" spans="1:8" ht="13.9" customHeight="1" x14ac:dyDescent="0.2"/>
    <row r="13" spans="1:8" ht="12.75" customHeight="1" x14ac:dyDescent="0.2">
      <c r="A13" s="234" t="s">
        <v>386</v>
      </c>
      <c r="B13" s="234" t="s">
        <v>387</v>
      </c>
      <c r="C13" s="234" t="s">
        <v>388</v>
      </c>
      <c r="D13" s="234"/>
    </row>
    <row r="14" spans="1:8" ht="12.75" customHeight="1" x14ac:dyDescent="0.2">
      <c r="A14" s="235" t="s">
        <v>389</v>
      </c>
      <c r="B14" s="235" t="s">
        <v>67</v>
      </c>
      <c r="C14" s="235"/>
      <c r="D14" s="235"/>
    </row>
    <row r="15" spans="1:8" ht="15" customHeight="1" x14ac:dyDescent="0.2">
      <c r="A15" s="236" t="s">
        <v>390</v>
      </c>
      <c r="B15" s="236" t="s">
        <v>23</v>
      </c>
      <c r="C15" s="236" t="s">
        <v>391</v>
      </c>
      <c r="D15" s="236"/>
    </row>
    <row r="16" spans="1:8" ht="15" customHeight="1" x14ac:dyDescent="0.2">
      <c r="A16" s="236" t="s">
        <v>390</v>
      </c>
      <c r="B16" s="236" t="s">
        <v>23</v>
      </c>
      <c r="C16" s="236" t="s">
        <v>392</v>
      </c>
      <c r="D16" s="236"/>
    </row>
    <row r="17" spans="1:4" ht="15" customHeight="1" x14ac:dyDescent="0.2">
      <c r="A17" s="236" t="s">
        <v>390</v>
      </c>
      <c r="B17" s="236" t="s">
        <v>393</v>
      </c>
      <c r="C17" s="236" t="s">
        <v>394</v>
      </c>
      <c r="D17" s="236"/>
    </row>
    <row r="18" spans="1:4" ht="15" customHeight="1" x14ac:dyDescent="0.2">
      <c r="A18" s="236" t="s">
        <v>390</v>
      </c>
      <c r="B18" s="236" t="s">
        <v>393</v>
      </c>
      <c r="C18" s="236" t="s">
        <v>395</v>
      </c>
      <c r="D18" s="236"/>
    </row>
    <row r="19" spans="1:4" ht="15" customHeight="1" x14ac:dyDescent="0.2">
      <c r="A19" s="236" t="s">
        <v>390</v>
      </c>
      <c r="B19" s="236" t="s">
        <v>393</v>
      </c>
      <c r="C19" s="236" t="s">
        <v>396</v>
      </c>
      <c r="D19" s="236"/>
    </row>
    <row r="20" spans="1:4" ht="15" customHeight="1" x14ac:dyDescent="0.2">
      <c r="A20" s="236" t="s">
        <v>390</v>
      </c>
      <c r="B20" s="236" t="s">
        <v>393</v>
      </c>
      <c r="C20" s="236" t="s">
        <v>397</v>
      </c>
      <c r="D20" s="236"/>
    </row>
    <row r="21" spans="1:4" ht="15" customHeight="1" x14ac:dyDescent="0.2">
      <c r="A21" s="236" t="s">
        <v>390</v>
      </c>
      <c r="B21" s="236" t="s">
        <v>393</v>
      </c>
      <c r="C21" s="236" t="s">
        <v>398</v>
      </c>
      <c r="D21" s="236"/>
    </row>
    <row r="22" spans="1:4" ht="15" customHeight="1" x14ac:dyDescent="0.2">
      <c r="A22" s="236" t="s">
        <v>390</v>
      </c>
      <c r="B22" s="236" t="s">
        <v>393</v>
      </c>
      <c r="C22" s="236" t="s">
        <v>399</v>
      </c>
      <c r="D22" s="236"/>
    </row>
    <row r="23" spans="1:4" ht="15" customHeight="1" x14ac:dyDescent="0.2">
      <c r="A23" s="236" t="s">
        <v>390</v>
      </c>
      <c r="B23" s="236" t="s">
        <v>393</v>
      </c>
      <c r="C23" s="236" t="s">
        <v>400</v>
      </c>
      <c r="D23" s="236"/>
    </row>
    <row r="24" spans="1:4" ht="15" customHeight="1" x14ac:dyDescent="0.2">
      <c r="A24" s="236" t="s">
        <v>390</v>
      </c>
      <c r="B24" s="236" t="s">
        <v>393</v>
      </c>
      <c r="C24" s="236" t="s">
        <v>401</v>
      </c>
      <c r="D24" s="236"/>
    </row>
    <row r="25" spans="1:4" ht="15" customHeight="1" x14ac:dyDescent="0.2">
      <c r="A25" s="236" t="s">
        <v>390</v>
      </c>
      <c r="B25" s="236" t="s">
        <v>393</v>
      </c>
      <c r="C25" s="236" t="s">
        <v>402</v>
      </c>
      <c r="D25" s="236"/>
    </row>
    <row r="26" spans="1:4" ht="15" customHeight="1" x14ac:dyDescent="0.2">
      <c r="A26" s="236" t="s">
        <v>390</v>
      </c>
      <c r="B26" s="236" t="s">
        <v>393</v>
      </c>
      <c r="C26" s="236" t="s">
        <v>403</v>
      </c>
      <c r="D26" s="236"/>
    </row>
    <row r="27" spans="1:4" ht="15" customHeight="1" x14ac:dyDescent="0.2">
      <c r="A27" s="236" t="s">
        <v>390</v>
      </c>
      <c r="B27" s="236" t="s">
        <v>393</v>
      </c>
      <c r="C27" s="236" t="s">
        <v>404</v>
      </c>
      <c r="D27" s="236"/>
    </row>
    <row r="28" spans="1:4" ht="15" customHeight="1" x14ac:dyDescent="0.2">
      <c r="A28" s="236" t="s">
        <v>390</v>
      </c>
      <c r="B28" s="236" t="s">
        <v>393</v>
      </c>
      <c r="C28" s="236" t="s">
        <v>405</v>
      </c>
      <c r="D28" s="236"/>
    </row>
    <row r="29" spans="1:4" ht="15" customHeight="1" x14ac:dyDescent="0.2">
      <c r="A29" s="236" t="s">
        <v>390</v>
      </c>
      <c r="B29" s="236" t="s">
        <v>393</v>
      </c>
      <c r="C29" s="236" t="s">
        <v>406</v>
      </c>
      <c r="D29" s="236"/>
    </row>
    <row r="30" spans="1:4" ht="15" customHeight="1" x14ac:dyDescent="0.2">
      <c r="A30" s="236" t="s">
        <v>390</v>
      </c>
      <c r="B30" s="236" t="s">
        <v>393</v>
      </c>
      <c r="C30" s="236" t="s">
        <v>407</v>
      </c>
      <c r="D30" s="236"/>
    </row>
    <row r="31" spans="1:4" ht="15" customHeight="1" x14ac:dyDescent="0.2">
      <c r="A31" s="236" t="s">
        <v>390</v>
      </c>
      <c r="B31" s="236" t="s">
        <v>393</v>
      </c>
      <c r="C31" s="236" t="s">
        <v>408</v>
      </c>
      <c r="D31" s="236"/>
    </row>
    <row r="32" spans="1:4" ht="15" customHeight="1" x14ac:dyDescent="0.2">
      <c r="A32" s="236" t="s">
        <v>390</v>
      </c>
      <c r="B32" s="236" t="s">
        <v>393</v>
      </c>
      <c r="C32" s="236" t="s">
        <v>409</v>
      </c>
      <c r="D32" s="236"/>
    </row>
    <row r="33" spans="1:4" ht="15" customHeight="1" x14ac:dyDescent="0.2">
      <c r="A33" s="236" t="s">
        <v>390</v>
      </c>
      <c r="B33" s="236" t="s">
        <v>393</v>
      </c>
      <c r="C33" s="236" t="s">
        <v>410</v>
      </c>
      <c r="D33" s="236"/>
    </row>
    <row r="34" spans="1:4" ht="15" customHeight="1" x14ac:dyDescent="0.2">
      <c r="A34" s="236" t="s">
        <v>390</v>
      </c>
      <c r="B34" s="236" t="s">
        <v>393</v>
      </c>
      <c r="C34" s="236" t="s">
        <v>411</v>
      </c>
      <c r="D34" s="236"/>
    </row>
    <row r="35" spans="1:4" ht="15" customHeight="1" x14ac:dyDescent="0.2">
      <c r="A35" s="236" t="s">
        <v>390</v>
      </c>
      <c r="B35" s="236" t="s">
        <v>393</v>
      </c>
      <c r="C35" s="236" t="s">
        <v>412</v>
      </c>
      <c r="D35" s="236"/>
    </row>
    <row r="36" spans="1:4" ht="15" customHeight="1" x14ac:dyDescent="0.2">
      <c r="A36" s="236" t="s">
        <v>390</v>
      </c>
      <c r="B36" s="236" t="s">
        <v>393</v>
      </c>
      <c r="C36" s="236" t="s">
        <v>413</v>
      </c>
      <c r="D36" s="236"/>
    </row>
    <row r="37" spans="1:4" ht="15" customHeight="1" x14ac:dyDescent="0.2">
      <c r="A37" s="236" t="s">
        <v>390</v>
      </c>
      <c r="B37" s="236" t="s">
        <v>393</v>
      </c>
      <c r="C37" s="236" t="s">
        <v>414</v>
      </c>
      <c r="D37" s="236"/>
    </row>
    <row r="38" spans="1:4" ht="15" customHeight="1" x14ac:dyDescent="0.2">
      <c r="A38" s="236" t="s">
        <v>390</v>
      </c>
      <c r="B38" s="236" t="s">
        <v>393</v>
      </c>
      <c r="C38" s="236" t="s">
        <v>415</v>
      </c>
      <c r="D38" s="236"/>
    </row>
    <row r="39" spans="1:4" ht="15" customHeight="1" x14ac:dyDescent="0.2">
      <c r="A39" s="236" t="s">
        <v>390</v>
      </c>
      <c r="B39" s="236" t="s">
        <v>393</v>
      </c>
      <c r="C39" s="236" t="s">
        <v>416</v>
      </c>
      <c r="D39" s="236"/>
    </row>
    <row r="40" spans="1:4" ht="15" customHeight="1" x14ac:dyDescent="0.2">
      <c r="A40" s="236" t="s">
        <v>390</v>
      </c>
      <c r="B40" s="236" t="s">
        <v>393</v>
      </c>
      <c r="C40" s="236" t="s">
        <v>417</v>
      </c>
      <c r="D40" s="236"/>
    </row>
    <row r="41" spans="1:4" ht="15" customHeight="1" x14ac:dyDescent="0.2">
      <c r="A41" s="236" t="s">
        <v>390</v>
      </c>
      <c r="B41" s="236" t="s">
        <v>393</v>
      </c>
      <c r="C41" s="236" t="s">
        <v>418</v>
      </c>
      <c r="D41" s="236"/>
    </row>
    <row r="42" spans="1:4" ht="15" customHeight="1" x14ac:dyDescent="0.2">
      <c r="A42" s="236" t="s">
        <v>390</v>
      </c>
      <c r="B42" s="236" t="s">
        <v>393</v>
      </c>
      <c r="C42" s="236" t="s">
        <v>419</v>
      </c>
      <c r="D42" s="236"/>
    </row>
    <row r="43" spans="1:4" ht="15" customHeight="1" x14ac:dyDescent="0.2">
      <c r="A43" s="236" t="s">
        <v>420</v>
      </c>
      <c r="B43" s="236" t="s">
        <v>393</v>
      </c>
      <c r="C43" s="236" t="s">
        <v>421</v>
      </c>
      <c r="D43" s="236"/>
    </row>
    <row r="44" spans="1:4" ht="15" customHeight="1" x14ac:dyDescent="0.2">
      <c r="A44" s="236" t="s">
        <v>420</v>
      </c>
      <c r="B44" s="236" t="s">
        <v>393</v>
      </c>
      <c r="C44" s="236" t="s">
        <v>422</v>
      </c>
      <c r="D44" s="236"/>
    </row>
    <row r="45" spans="1:4" ht="15" customHeight="1" x14ac:dyDescent="0.2">
      <c r="A45" s="236" t="s">
        <v>420</v>
      </c>
      <c r="B45" s="236" t="s">
        <v>393</v>
      </c>
      <c r="C45" s="236" t="s">
        <v>423</v>
      </c>
      <c r="D45" s="236"/>
    </row>
    <row r="46" spans="1:4" ht="15" customHeight="1" x14ac:dyDescent="0.2">
      <c r="A46" s="236" t="s">
        <v>420</v>
      </c>
      <c r="B46" s="236" t="s">
        <v>393</v>
      </c>
      <c r="C46" s="236" t="s">
        <v>424</v>
      </c>
      <c r="D46" s="236"/>
    </row>
    <row r="47" spans="1:4" ht="15" customHeight="1" x14ac:dyDescent="0.2">
      <c r="A47" s="236" t="s">
        <v>420</v>
      </c>
      <c r="B47" s="236" t="s">
        <v>393</v>
      </c>
      <c r="C47" s="236" t="s">
        <v>425</v>
      </c>
      <c r="D47" s="236"/>
    </row>
    <row r="48" spans="1:4" ht="15" customHeight="1" x14ac:dyDescent="0.2">
      <c r="A48" s="236" t="s">
        <v>420</v>
      </c>
      <c r="B48" s="236" t="s">
        <v>393</v>
      </c>
      <c r="C48" s="236" t="s">
        <v>426</v>
      </c>
      <c r="D48" s="236"/>
    </row>
    <row r="49" spans="1:4" ht="15" customHeight="1" x14ac:dyDescent="0.2">
      <c r="A49" s="236" t="s">
        <v>427</v>
      </c>
      <c r="B49" s="236" t="s">
        <v>393</v>
      </c>
      <c r="C49" s="236" t="s">
        <v>428</v>
      </c>
      <c r="D49" s="236"/>
    </row>
    <row r="50" spans="1:4" ht="15" customHeight="1" x14ac:dyDescent="0.2">
      <c r="A50" s="236" t="s">
        <v>427</v>
      </c>
      <c r="B50" s="236" t="s">
        <v>393</v>
      </c>
      <c r="C50" s="236" t="s">
        <v>429</v>
      </c>
      <c r="D50" s="236"/>
    </row>
    <row r="51" spans="1:4" ht="15" customHeight="1" x14ac:dyDescent="0.2">
      <c r="A51" s="236" t="s">
        <v>427</v>
      </c>
      <c r="B51" s="236" t="s">
        <v>393</v>
      </c>
      <c r="C51" s="236" t="s">
        <v>430</v>
      </c>
      <c r="D51" s="236"/>
    </row>
    <row r="52" spans="1:4" ht="15" customHeight="1" x14ac:dyDescent="0.2">
      <c r="A52" s="236" t="s">
        <v>427</v>
      </c>
      <c r="B52" s="236" t="s">
        <v>393</v>
      </c>
      <c r="C52" s="236" t="s">
        <v>431</v>
      </c>
      <c r="D52" s="236"/>
    </row>
    <row r="53" spans="1:4" ht="15" customHeight="1" x14ac:dyDescent="0.2">
      <c r="A53" s="236" t="s">
        <v>427</v>
      </c>
      <c r="B53" s="236" t="s">
        <v>393</v>
      </c>
      <c r="C53" s="236" t="s">
        <v>432</v>
      </c>
      <c r="D53" s="236"/>
    </row>
    <row r="54" spans="1:4" ht="15" customHeight="1" x14ac:dyDescent="0.2">
      <c r="A54" s="236" t="s">
        <v>427</v>
      </c>
      <c r="B54" s="236" t="s">
        <v>393</v>
      </c>
      <c r="C54" s="236" t="s">
        <v>433</v>
      </c>
      <c r="D54" s="236"/>
    </row>
    <row r="55" spans="1:4" ht="15" customHeight="1" x14ac:dyDescent="0.2">
      <c r="A55" s="236" t="s">
        <v>427</v>
      </c>
      <c r="B55" s="236" t="s">
        <v>393</v>
      </c>
      <c r="C55" s="236" t="s">
        <v>434</v>
      </c>
      <c r="D55" s="236"/>
    </row>
    <row r="56" spans="1:4" ht="15" customHeight="1" x14ac:dyDescent="0.2">
      <c r="A56" s="236" t="s">
        <v>427</v>
      </c>
      <c r="B56" s="236" t="s">
        <v>393</v>
      </c>
      <c r="C56" s="236" t="s">
        <v>435</v>
      </c>
      <c r="D56" s="236"/>
    </row>
    <row r="57" spans="1:4" ht="15" customHeight="1" x14ac:dyDescent="0.2">
      <c r="A57" s="236" t="s">
        <v>427</v>
      </c>
      <c r="B57" s="236" t="s">
        <v>393</v>
      </c>
      <c r="C57" s="236" t="s">
        <v>436</v>
      </c>
      <c r="D57" s="236"/>
    </row>
    <row r="58" spans="1:4" ht="15" customHeight="1" x14ac:dyDescent="0.2">
      <c r="A58" s="236" t="s">
        <v>427</v>
      </c>
      <c r="B58" s="236" t="s">
        <v>393</v>
      </c>
      <c r="C58" s="236" t="s">
        <v>437</v>
      </c>
      <c r="D58" s="236"/>
    </row>
    <row r="59" spans="1:4" ht="15" customHeight="1" x14ac:dyDescent="0.2">
      <c r="A59" s="236" t="s">
        <v>427</v>
      </c>
      <c r="B59" s="236" t="s">
        <v>393</v>
      </c>
      <c r="C59" s="236" t="s">
        <v>438</v>
      </c>
      <c r="D59" s="236"/>
    </row>
    <row r="60" spans="1:4" ht="15" customHeight="1" x14ac:dyDescent="0.2">
      <c r="A60" s="236" t="s">
        <v>427</v>
      </c>
      <c r="B60" s="236" t="s">
        <v>393</v>
      </c>
      <c r="C60" s="236" t="s">
        <v>439</v>
      </c>
      <c r="D60" s="236"/>
    </row>
    <row r="61" spans="1:4" ht="15" customHeight="1" x14ac:dyDescent="0.2">
      <c r="A61" s="236" t="s">
        <v>440</v>
      </c>
      <c r="B61" s="236" t="s">
        <v>441</v>
      </c>
      <c r="C61" s="236" t="s">
        <v>434</v>
      </c>
      <c r="D61" s="236"/>
    </row>
    <row r="62" spans="1:4" ht="15" customHeight="1" x14ac:dyDescent="0.2">
      <c r="A62" s="236" t="s">
        <v>440</v>
      </c>
      <c r="B62" s="236" t="s">
        <v>441</v>
      </c>
      <c r="C62" s="236" t="s">
        <v>442</v>
      </c>
      <c r="D62" s="236"/>
    </row>
    <row r="63" spans="1:4" ht="15" customHeight="1" x14ac:dyDescent="0.2">
      <c r="A63" s="236" t="s">
        <v>440</v>
      </c>
      <c r="B63" s="236" t="s">
        <v>441</v>
      </c>
      <c r="C63" s="236" t="s">
        <v>436</v>
      </c>
      <c r="D63" s="236"/>
    </row>
    <row r="64" spans="1:4" ht="15" customHeight="1" x14ac:dyDescent="0.2">
      <c r="A64" s="236" t="s">
        <v>440</v>
      </c>
      <c r="B64" s="236" t="s">
        <v>441</v>
      </c>
      <c r="C64" s="236" t="s">
        <v>437</v>
      </c>
      <c r="D64" s="236"/>
    </row>
    <row r="65" spans="1:4" ht="15" customHeight="1" x14ac:dyDescent="0.2">
      <c r="A65" s="236" t="s">
        <v>440</v>
      </c>
      <c r="B65" s="236" t="s">
        <v>441</v>
      </c>
      <c r="C65" s="236" t="s">
        <v>438</v>
      </c>
      <c r="D65" s="236"/>
    </row>
    <row r="66" spans="1:4" ht="15" customHeight="1" x14ac:dyDescent="0.2">
      <c r="A66" s="236" t="s">
        <v>443</v>
      </c>
      <c r="B66" s="236" t="s">
        <v>444</v>
      </c>
      <c r="C66" s="236" t="s">
        <v>434</v>
      </c>
      <c r="D66" s="236"/>
    </row>
    <row r="67" spans="1:4" ht="15" customHeight="1" x14ac:dyDescent="0.2">
      <c r="A67" s="236" t="s">
        <v>443</v>
      </c>
      <c r="B67" s="236" t="s">
        <v>444</v>
      </c>
      <c r="C67" s="236" t="s">
        <v>442</v>
      </c>
      <c r="D67" s="236"/>
    </row>
    <row r="68" spans="1:4" ht="15" customHeight="1" x14ac:dyDescent="0.2">
      <c r="A68" s="236" t="s">
        <v>443</v>
      </c>
      <c r="B68" s="236" t="s">
        <v>444</v>
      </c>
      <c r="C68" s="236" t="s">
        <v>436</v>
      </c>
      <c r="D68" s="236"/>
    </row>
    <row r="69" spans="1:4" ht="15" customHeight="1" x14ac:dyDescent="0.2">
      <c r="A69" s="236" t="s">
        <v>443</v>
      </c>
      <c r="B69" s="236" t="s">
        <v>444</v>
      </c>
      <c r="C69" s="236" t="s">
        <v>437</v>
      </c>
      <c r="D69" s="236"/>
    </row>
    <row r="70" spans="1:4" ht="15" customHeight="1" x14ac:dyDescent="0.2">
      <c r="A70" s="236" t="s">
        <v>443</v>
      </c>
      <c r="B70" s="236" t="s">
        <v>444</v>
      </c>
      <c r="C70" s="236" t="s">
        <v>438</v>
      </c>
      <c r="D70" s="236"/>
    </row>
    <row r="71" spans="1:4" ht="15" customHeight="1" x14ac:dyDescent="0.2">
      <c r="A71" s="236" t="s">
        <v>443</v>
      </c>
      <c r="B71" s="236" t="s">
        <v>444</v>
      </c>
      <c r="C71" s="236" t="s">
        <v>445</v>
      </c>
      <c r="D71" s="236"/>
    </row>
    <row r="72" spans="1:4" ht="15" customHeight="1" x14ac:dyDescent="0.2">
      <c r="A72" s="236" t="s">
        <v>443</v>
      </c>
      <c r="B72" s="236" t="s">
        <v>444</v>
      </c>
      <c r="C72" s="236" t="s">
        <v>446</v>
      </c>
      <c r="D72" s="236"/>
    </row>
    <row r="73" spans="1:4" ht="15" customHeight="1" x14ac:dyDescent="0.2">
      <c r="A73" s="236" t="s">
        <v>443</v>
      </c>
      <c r="B73" s="236" t="s">
        <v>444</v>
      </c>
      <c r="C73" s="236" t="s">
        <v>447</v>
      </c>
      <c r="D73" s="236"/>
    </row>
    <row r="74" spans="1:4" ht="15" customHeight="1" x14ac:dyDescent="0.2">
      <c r="A74" s="236" t="s">
        <v>443</v>
      </c>
      <c r="B74" s="236" t="s">
        <v>444</v>
      </c>
      <c r="C74" s="236" t="s">
        <v>448</v>
      </c>
      <c r="D74" s="236"/>
    </row>
    <row r="75" spans="1:4" ht="15" customHeight="1" x14ac:dyDescent="0.2">
      <c r="A75" s="236" t="s">
        <v>443</v>
      </c>
      <c r="B75" s="236" t="s">
        <v>444</v>
      </c>
      <c r="C75" s="236" t="s">
        <v>449</v>
      </c>
      <c r="D75" s="236"/>
    </row>
    <row r="76" spans="1:4" ht="15" customHeight="1" x14ac:dyDescent="0.2">
      <c r="A76" s="236" t="s">
        <v>443</v>
      </c>
      <c r="B76" s="236" t="s">
        <v>450</v>
      </c>
      <c r="C76" s="236" t="s">
        <v>451</v>
      </c>
      <c r="D76" s="236"/>
    </row>
    <row r="77" spans="1:4" ht="15" customHeight="1" x14ac:dyDescent="0.2">
      <c r="A77" s="236" t="s">
        <v>443</v>
      </c>
      <c r="B77" s="236" t="s">
        <v>450</v>
      </c>
      <c r="C77" s="236" t="s">
        <v>452</v>
      </c>
      <c r="D77" s="236"/>
    </row>
    <row r="78" spans="1:4" ht="15" customHeight="1" x14ac:dyDescent="0.2">
      <c r="A78" s="236" t="s">
        <v>443</v>
      </c>
      <c r="B78" s="236" t="s">
        <v>450</v>
      </c>
      <c r="C78" s="236" t="s">
        <v>452</v>
      </c>
      <c r="D78" s="236"/>
    </row>
    <row r="79" spans="1:4" ht="15" customHeight="1" x14ac:dyDescent="0.2">
      <c r="A79" s="236" t="s">
        <v>443</v>
      </c>
      <c r="B79" s="236" t="s">
        <v>450</v>
      </c>
      <c r="C79" s="236" t="s">
        <v>452</v>
      </c>
      <c r="D79" s="236"/>
    </row>
    <row r="80" spans="1:4" ht="15" customHeight="1" x14ac:dyDescent="0.2">
      <c r="A80" s="236" t="s">
        <v>443</v>
      </c>
      <c r="B80" s="236" t="s">
        <v>23</v>
      </c>
      <c r="C80" s="236" t="s">
        <v>453</v>
      </c>
      <c r="D80" s="236"/>
    </row>
    <row r="81" spans="1:4" ht="15" customHeight="1" x14ac:dyDescent="0.2">
      <c r="A81" s="236" t="s">
        <v>443</v>
      </c>
      <c r="B81" s="236" t="s">
        <v>23</v>
      </c>
      <c r="C81" s="236" t="s">
        <v>454</v>
      </c>
      <c r="D81" s="236"/>
    </row>
    <row r="82" spans="1:4" ht="15" customHeight="1" x14ac:dyDescent="0.2">
      <c r="A82" s="236" t="s">
        <v>443</v>
      </c>
      <c r="B82" s="236" t="s">
        <v>23</v>
      </c>
      <c r="C82" s="236" t="s">
        <v>455</v>
      </c>
      <c r="D82" s="236"/>
    </row>
    <row r="83" spans="1:4" ht="12.75" customHeight="1" x14ac:dyDescent="0.2">
      <c r="A83" s="41"/>
      <c r="B83" s="41"/>
      <c r="C83" s="41"/>
      <c r="D83" s="41"/>
    </row>
    <row r="97" customFormat="1" ht="12.75" customHeight="1" x14ac:dyDescent="0.2"/>
    <row r="98" customFormat="1" ht="12.75" customHeight="1" x14ac:dyDescent="0.2"/>
    <row r="99" customFormat="1" ht="12.75" customHeight="1" x14ac:dyDescent="0.2"/>
    <row r="100" customFormat="1" ht="12.75" customHeight="1" x14ac:dyDescent="0.2"/>
    <row r="101" customFormat="1" ht="12.75" customHeight="1" x14ac:dyDescent="0.2"/>
    <row r="102" customFormat="1" ht="12.75" customHeight="1" x14ac:dyDescent="0.2"/>
    <row r="103" customFormat="1" ht="12.75" customHeight="1" x14ac:dyDescent="0.2"/>
    <row r="104" customFormat="1" ht="12.75" customHeight="1" x14ac:dyDescent="0.2"/>
    <row r="105" customFormat="1" ht="12.75" customHeight="1" x14ac:dyDescent="0.2"/>
    <row r="106" customFormat="1" ht="12.75" customHeight="1" x14ac:dyDescent="0.2"/>
    <row r="107" customFormat="1" ht="12.75" customHeight="1" x14ac:dyDescent="0.2"/>
    <row r="108" customFormat="1" ht="12.75" customHeight="1" x14ac:dyDescent="0.2"/>
    <row r="109" customFormat="1" ht="12.75" customHeight="1" x14ac:dyDescent="0.2"/>
    <row r="110" customFormat="1" ht="12.75" customHeight="1" x14ac:dyDescent="0.2"/>
    <row r="111" customFormat="1" ht="12.75" customHeight="1" x14ac:dyDescent="0.2"/>
    <row r="112" customFormat="1" ht="12.75" customHeight="1" x14ac:dyDescent="0.2"/>
    <row r="113" customFormat="1" ht="12.75" customHeight="1" x14ac:dyDescent="0.2"/>
    <row r="114" customFormat="1" ht="12.75" customHeight="1" x14ac:dyDescent="0.2"/>
    <row r="115" customFormat="1" ht="12.75" customHeight="1" x14ac:dyDescent="0.2"/>
    <row r="116" customFormat="1" ht="12.75" customHeight="1" x14ac:dyDescent="0.2"/>
    <row r="117" customFormat="1" ht="12.75" customHeight="1" x14ac:dyDescent="0.2"/>
    <row r="118" customFormat="1" ht="12.75" customHeight="1" x14ac:dyDescent="0.2"/>
    <row r="119" customFormat="1" ht="12.75" customHeight="1" x14ac:dyDescent="0.2"/>
    <row r="120" customFormat="1" ht="12.75" customHeight="1" x14ac:dyDescent="0.2"/>
    <row r="121" customFormat="1" ht="12.75" customHeight="1" x14ac:dyDescent="0.2"/>
    <row r="122" customFormat="1" ht="12.75" customHeight="1" x14ac:dyDescent="0.2"/>
    <row r="123" customFormat="1" ht="12.75" customHeight="1" x14ac:dyDescent="0.2"/>
    <row r="124" customFormat="1" ht="12.75" customHeight="1" x14ac:dyDescent="0.2"/>
    <row r="125" customFormat="1" ht="12.75" customHeight="1" x14ac:dyDescent="0.2"/>
    <row r="126" customFormat="1" ht="12.75" customHeight="1" x14ac:dyDescent="0.2"/>
    <row r="127" customFormat="1" ht="12.75" customHeight="1" x14ac:dyDescent="0.2"/>
    <row r="128" customFormat="1" ht="12.75" customHeight="1" x14ac:dyDescent="0.2"/>
    <row r="129" customFormat="1" ht="12.75" customHeight="1" x14ac:dyDescent="0.2"/>
    <row r="130" customFormat="1" ht="12.75" customHeight="1" x14ac:dyDescent="0.2"/>
    <row r="131" customFormat="1" ht="12.75" customHeight="1" x14ac:dyDescent="0.2"/>
    <row r="132" customFormat="1" ht="12.75" customHeight="1" x14ac:dyDescent="0.2"/>
    <row r="133" customFormat="1" ht="12.75" customHeight="1" x14ac:dyDescent="0.2"/>
    <row r="134" customFormat="1" ht="12.75" customHeight="1" x14ac:dyDescent="0.2"/>
    <row r="135" customFormat="1" ht="12.75" customHeight="1" x14ac:dyDescent="0.2"/>
    <row r="136" customFormat="1" ht="12.75" customHeight="1" x14ac:dyDescent="0.2"/>
    <row r="137" customFormat="1" ht="12.75" customHeight="1" x14ac:dyDescent="0.2"/>
    <row r="138" customFormat="1" ht="12.75" customHeight="1" x14ac:dyDescent="0.2"/>
    <row r="139" customFormat="1" ht="12.75" customHeight="1" x14ac:dyDescent="0.2"/>
    <row r="140" customFormat="1" ht="12.75" customHeight="1" x14ac:dyDescent="0.2"/>
    <row r="141" customFormat="1" ht="12.75" customHeight="1" x14ac:dyDescent="0.2"/>
    <row r="142" customFormat="1" ht="12.75" customHeight="1" x14ac:dyDescent="0.2"/>
    <row r="143" customFormat="1" ht="12.75" customHeight="1" x14ac:dyDescent="0.2"/>
    <row r="144" customFormat="1" ht="12.75" customHeight="1" x14ac:dyDescent="0.2"/>
    <row r="145" customFormat="1" ht="12.75" customHeight="1" x14ac:dyDescent="0.2"/>
    <row r="146" customFormat="1" ht="12.75" customHeight="1" x14ac:dyDescent="0.2"/>
    <row r="147" customFormat="1" ht="12.75" customHeight="1" x14ac:dyDescent="0.2"/>
    <row r="148" customFormat="1" ht="12.75" customHeight="1" x14ac:dyDescent="0.2"/>
    <row r="149" customFormat="1" ht="12.75" customHeight="1" x14ac:dyDescent="0.2"/>
    <row r="150" customFormat="1" ht="12.75" customHeight="1" x14ac:dyDescent="0.2"/>
    <row r="151" customFormat="1" ht="12.75" customHeight="1" x14ac:dyDescent="0.2"/>
    <row r="152" customFormat="1" ht="12.75" customHeight="1" x14ac:dyDescent="0.2"/>
    <row r="153" customFormat="1" ht="12.75" customHeight="1" x14ac:dyDescent="0.2"/>
    <row r="154" customFormat="1" ht="12.75" customHeight="1" x14ac:dyDescent="0.2"/>
    <row r="155" customFormat="1" ht="12.75" customHeight="1" x14ac:dyDescent="0.2"/>
    <row r="156" customFormat="1" ht="12.75" customHeight="1" x14ac:dyDescent="0.2"/>
    <row r="157" customFormat="1" ht="12.75" customHeight="1" x14ac:dyDescent="0.2"/>
    <row r="158" customFormat="1" ht="12.75" customHeight="1" x14ac:dyDescent="0.2"/>
    <row r="159" customFormat="1" ht="12.75" customHeight="1" x14ac:dyDescent="0.2"/>
    <row r="160" customFormat="1" ht="12.75" customHeight="1" x14ac:dyDescent="0.2"/>
    <row r="161" customFormat="1" ht="12.75" customHeight="1" x14ac:dyDescent="0.2"/>
    <row r="162" customFormat="1" ht="12.75" customHeight="1" x14ac:dyDescent="0.2"/>
    <row r="163" customFormat="1" ht="12.75" customHeight="1" x14ac:dyDescent="0.2"/>
    <row r="164" customFormat="1" ht="12.75" customHeight="1" x14ac:dyDescent="0.2"/>
    <row r="165" customFormat="1" ht="12.75" customHeight="1" x14ac:dyDescent="0.2"/>
    <row r="166" customFormat="1" ht="12.75" customHeight="1" x14ac:dyDescent="0.2"/>
    <row r="167" customFormat="1" ht="12.75" customHeight="1" x14ac:dyDescent="0.2"/>
    <row r="168" customFormat="1" ht="12.75" customHeight="1" x14ac:dyDescent="0.2"/>
    <row r="169" customFormat="1" ht="12.75" customHeight="1" x14ac:dyDescent="0.2"/>
    <row r="170" customFormat="1" ht="12.75" customHeight="1" x14ac:dyDescent="0.2"/>
    <row r="171" customFormat="1" ht="12.75" customHeight="1" x14ac:dyDescent="0.2"/>
    <row r="172" customFormat="1" ht="12.75" customHeight="1" x14ac:dyDescent="0.2"/>
    <row r="173" customFormat="1" ht="12.75" customHeight="1" x14ac:dyDescent="0.2"/>
    <row r="174" customFormat="1" ht="12.75" customHeight="1" x14ac:dyDescent="0.2"/>
    <row r="175" customFormat="1" ht="12.75" customHeight="1" x14ac:dyDescent="0.2"/>
    <row r="176" customFormat="1" ht="12.75" customHeight="1" x14ac:dyDescent="0.2"/>
    <row r="177" customFormat="1" ht="12.75" customHeight="1" x14ac:dyDescent="0.2"/>
    <row r="178" customFormat="1" ht="12.75" customHeight="1" x14ac:dyDescent="0.2"/>
    <row r="179" customFormat="1" ht="12.75" customHeight="1" x14ac:dyDescent="0.2"/>
    <row r="180" customFormat="1" ht="12.75" customHeight="1" x14ac:dyDescent="0.2"/>
    <row r="181" customFormat="1" ht="12.75" customHeight="1" x14ac:dyDescent="0.2"/>
    <row r="182" customFormat="1" ht="12.75" customHeight="1" x14ac:dyDescent="0.2"/>
    <row r="183" customFormat="1" ht="12.75" customHeight="1" x14ac:dyDescent="0.2"/>
    <row r="184" customFormat="1" ht="12.75" customHeight="1" x14ac:dyDescent="0.2"/>
    <row r="185" customFormat="1" ht="12.75" customHeight="1" x14ac:dyDescent="0.2"/>
    <row r="186" customFormat="1" ht="12.75" customHeight="1" x14ac:dyDescent="0.2"/>
    <row r="187" customFormat="1" ht="12.75" customHeight="1" x14ac:dyDescent="0.2"/>
    <row r="188" customFormat="1" ht="12.75" customHeight="1" x14ac:dyDescent="0.2"/>
    <row r="189" customFormat="1" ht="12.75" customHeight="1" x14ac:dyDescent="0.2"/>
    <row r="190" customFormat="1" ht="12.75" customHeight="1" x14ac:dyDescent="0.2"/>
    <row r="191" customFormat="1" ht="12.75" customHeight="1" x14ac:dyDescent="0.2"/>
    <row r="192" customFormat="1" ht="12.75" customHeight="1" x14ac:dyDescent="0.2"/>
    <row r="193" customFormat="1" ht="12.75" customHeight="1" x14ac:dyDescent="0.2"/>
    <row r="194" customFormat="1" ht="12.75" customHeight="1" x14ac:dyDescent="0.2"/>
    <row r="195" customFormat="1" ht="12.75" customHeight="1" x14ac:dyDescent="0.2"/>
    <row r="196" customFormat="1" ht="12.75" customHeight="1" x14ac:dyDescent="0.2"/>
    <row r="197" customFormat="1" ht="12.75" customHeight="1" x14ac:dyDescent="0.2"/>
    <row r="198" customFormat="1" ht="12.75" customHeight="1" x14ac:dyDescent="0.2"/>
    <row r="199" customFormat="1" ht="12.75" customHeight="1" x14ac:dyDescent="0.2"/>
    <row r="200" customFormat="1" ht="12.75" customHeight="1" x14ac:dyDescent="0.2"/>
    <row r="201" customFormat="1" ht="12.75" customHeight="1" x14ac:dyDescent="0.2"/>
    <row r="202" customFormat="1" ht="12.75" customHeight="1" x14ac:dyDescent="0.2"/>
    <row r="203" customFormat="1" ht="12.75" customHeight="1" x14ac:dyDescent="0.2"/>
    <row r="204" customFormat="1" ht="12.75" customHeight="1" x14ac:dyDescent="0.2"/>
    <row r="205" customFormat="1" ht="12.75" customHeight="1" x14ac:dyDescent="0.2"/>
    <row r="206" customFormat="1" ht="12.75" customHeight="1" x14ac:dyDescent="0.2"/>
    <row r="207" customFormat="1" ht="12.75" customHeight="1" x14ac:dyDescent="0.2"/>
    <row r="208" customFormat="1" ht="12.75" customHeight="1" x14ac:dyDescent="0.2"/>
    <row r="209" customFormat="1" ht="12.75" customHeight="1" x14ac:dyDescent="0.2"/>
    <row r="210" customFormat="1" ht="12.75" customHeight="1" x14ac:dyDescent="0.2"/>
    <row r="211" customFormat="1" ht="12.75" customHeight="1" x14ac:dyDescent="0.2"/>
    <row r="212" customFormat="1" ht="12.75" customHeight="1" x14ac:dyDescent="0.2"/>
    <row r="213" customFormat="1" ht="12.75" customHeight="1" x14ac:dyDescent="0.2"/>
    <row r="214" customFormat="1" ht="12.75" customHeight="1" x14ac:dyDescent="0.2"/>
    <row r="215" customFormat="1" ht="12.75" customHeight="1" x14ac:dyDescent="0.2"/>
    <row r="216" customFormat="1" ht="12.75" customHeight="1" x14ac:dyDescent="0.2"/>
    <row r="217" customFormat="1" ht="12.75" customHeight="1" x14ac:dyDescent="0.2"/>
    <row r="218" customFormat="1" ht="12.75" customHeight="1" x14ac:dyDescent="0.2"/>
    <row r="219" customFormat="1" ht="12.75" customHeight="1" x14ac:dyDescent="0.2"/>
    <row r="220" customFormat="1" ht="12.75" customHeight="1" x14ac:dyDescent="0.2"/>
    <row r="221" customFormat="1" ht="12.75" customHeight="1" x14ac:dyDescent="0.2"/>
    <row r="222" customFormat="1" ht="12.75" customHeight="1" x14ac:dyDescent="0.2"/>
    <row r="223" customFormat="1" ht="12.75" customHeight="1" x14ac:dyDescent="0.2"/>
    <row r="224" customFormat="1" ht="12.75" customHeight="1" x14ac:dyDescent="0.2"/>
    <row r="225" customFormat="1" ht="12.75" customHeight="1" x14ac:dyDescent="0.2"/>
    <row r="226" customFormat="1" ht="12.75" customHeight="1" x14ac:dyDescent="0.2"/>
    <row r="227" customFormat="1" ht="12.75" customHeight="1" x14ac:dyDescent="0.2"/>
    <row r="228" customFormat="1" ht="12.75" customHeight="1" x14ac:dyDescent="0.2"/>
    <row r="229" customFormat="1" ht="12.75" customHeight="1" x14ac:dyDescent="0.2"/>
    <row r="230" customFormat="1" ht="12.75" customHeight="1" x14ac:dyDescent="0.2"/>
    <row r="231" customFormat="1" ht="12.75" customHeight="1" x14ac:dyDescent="0.2"/>
    <row r="232" customFormat="1" ht="12.75" customHeight="1" x14ac:dyDescent="0.2"/>
    <row r="233" customFormat="1" ht="12.75" customHeight="1" x14ac:dyDescent="0.2"/>
    <row r="234" customFormat="1" ht="12.75" customHeight="1" x14ac:dyDescent="0.2"/>
    <row r="235" customFormat="1" ht="12.75" customHeight="1" x14ac:dyDescent="0.2"/>
    <row r="236" customFormat="1" ht="12.75" customHeight="1" x14ac:dyDescent="0.2"/>
    <row r="237" customFormat="1" ht="12.75" customHeight="1" x14ac:dyDescent="0.2"/>
    <row r="238" customFormat="1" ht="12.75" customHeight="1" x14ac:dyDescent="0.2"/>
    <row r="239" customFormat="1" ht="12.75" customHeight="1" x14ac:dyDescent="0.2"/>
    <row r="240" customFormat="1" ht="12.75" customHeight="1" x14ac:dyDescent="0.2"/>
    <row r="241" customFormat="1" ht="12.75" customHeight="1" x14ac:dyDescent="0.2"/>
    <row r="242" customFormat="1" ht="12.75" customHeight="1" x14ac:dyDescent="0.2"/>
    <row r="243" customFormat="1" ht="12.75" customHeight="1" x14ac:dyDescent="0.2"/>
    <row r="244" customFormat="1" ht="12.75" customHeight="1" x14ac:dyDescent="0.2"/>
    <row r="245" customFormat="1" ht="12.75" customHeight="1" x14ac:dyDescent="0.2"/>
    <row r="246" customFormat="1" ht="12.75" customHeight="1" x14ac:dyDescent="0.2"/>
    <row r="247" customFormat="1" ht="12.75" customHeight="1" x14ac:dyDescent="0.2"/>
    <row r="248" customFormat="1" ht="12.75" customHeight="1" x14ac:dyDescent="0.2"/>
    <row r="249" customFormat="1" ht="12.75" customHeight="1" x14ac:dyDescent="0.2"/>
    <row r="250" customFormat="1" ht="12.75" customHeight="1" x14ac:dyDescent="0.2"/>
    <row r="251" customFormat="1" ht="12.75" customHeight="1" x14ac:dyDescent="0.2"/>
    <row r="252" customFormat="1" ht="12.75" customHeight="1" x14ac:dyDescent="0.2"/>
    <row r="253" customFormat="1" ht="12.75" customHeight="1" x14ac:dyDescent="0.2"/>
    <row r="254" customFormat="1" ht="12.75" customHeight="1" x14ac:dyDescent="0.2"/>
    <row r="255" customFormat="1" ht="12.75" customHeight="1" x14ac:dyDescent="0.2"/>
    <row r="256" customFormat="1" ht="12.75" customHeight="1" x14ac:dyDescent="0.2"/>
    <row r="257" customFormat="1" ht="12.75" customHeight="1" x14ac:dyDescent="0.2"/>
    <row r="258" customFormat="1" ht="12.75" customHeight="1" x14ac:dyDescent="0.2"/>
    <row r="259" customFormat="1" ht="12.75" customHeight="1" x14ac:dyDescent="0.2"/>
    <row r="260" customFormat="1" ht="12.75" customHeight="1" x14ac:dyDescent="0.2"/>
    <row r="261" customFormat="1" ht="12.75" customHeight="1" x14ac:dyDescent="0.2"/>
    <row r="262" customFormat="1" ht="12.75" customHeight="1" x14ac:dyDescent="0.2"/>
    <row r="263" customFormat="1" ht="12.75" customHeight="1" x14ac:dyDescent="0.2"/>
    <row r="264" customFormat="1" ht="12.75" customHeight="1" x14ac:dyDescent="0.2"/>
    <row r="265" customFormat="1" ht="12.75" customHeight="1" x14ac:dyDescent="0.2"/>
    <row r="266" customFormat="1" ht="12.75" customHeight="1" x14ac:dyDescent="0.2"/>
    <row r="267" customFormat="1" ht="12.75" customHeight="1" x14ac:dyDescent="0.2"/>
    <row r="268" customFormat="1" ht="12.75" customHeight="1" x14ac:dyDescent="0.2"/>
    <row r="269" customFormat="1" ht="12.75" customHeight="1" x14ac:dyDescent="0.2"/>
    <row r="270" customFormat="1" ht="12.75" customHeight="1" x14ac:dyDescent="0.2"/>
    <row r="271" customFormat="1" ht="12.75" customHeight="1" x14ac:dyDescent="0.2"/>
    <row r="272" customFormat="1" ht="12.75" customHeight="1" x14ac:dyDescent="0.2"/>
    <row r="273" customFormat="1" ht="12.75" customHeight="1" x14ac:dyDescent="0.2"/>
    <row r="274" customFormat="1" ht="12.75" customHeight="1" x14ac:dyDescent="0.2"/>
    <row r="275" customFormat="1" ht="12.75" customHeight="1" x14ac:dyDescent="0.2"/>
    <row r="276" customFormat="1" ht="12.75" customHeight="1" x14ac:dyDescent="0.2"/>
    <row r="277" customFormat="1" ht="12.75" customHeight="1" x14ac:dyDescent="0.2"/>
    <row r="278" customFormat="1" ht="12.75" customHeight="1" x14ac:dyDescent="0.2"/>
    <row r="279" customFormat="1" ht="12.75" customHeight="1" x14ac:dyDescent="0.2"/>
    <row r="280" customFormat="1" ht="12.75" customHeight="1" x14ac:dyDescent="0.2"/>
    <row r="281" customFormat="1" ht="12.75" customHeight="1" x14ac:dyDescent="0.2"/>
    <row r="282" customFormat="1" ht="12.75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Height="9" orientation="landscape"/>
  <headerFooter alignWithMargins="0">
    <oddHeader>&amp;L&amp;08&amp;"Microsoft Sans Serif"Instrument:{seq.instrument}   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   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zoomScaleNormal="100" zoomScaleSheetLayoutView="100" workbookViewId="0">
      <selection sqref="A1:H1"/>
    </sheetView>
  </sheetViews>
  <sheetFormatPr defaultColWidth="9.140625" defaultRowHeight="12.75" customHeight="1" x14ac:dyDescent="0.2"/>
  <cols>
    <col min="1" max="1" width="9.85546875" customWidth="1"/>
    <col min="2" max="2" width="12.5703125" customWidth="1"/>
    <col min="3" max="3" width="11.85546875" customWidth="1"/>
    <col min="4" max="4" width="19.42578125" customWidth="1"/>
    <col min="5" max="5" width="10.42578125" customWidth="1"/>
    <col min="6" max="6" width="10" customWidth="1"/>
    <col min="7" max="7" width="10.140625" customWidth="1"/>
    <col min="8" max="8" width="9.42578125" customWidth="1"/>
  </cols>
  <sheetData>
    <row r="1" spans="1:8" ht="21" x14ac:dyDescent="0.2">
      <c r="A1" s="240" t="s">
        <v>56</v>
      </c>
      <c r="B1" s="241"/>
      <c r="C1" s="241"/>
      <c r="D1" s="241"/>
      <c r="E1" s="241"/>
      <c r="F1" s="241"/>
      <c r="G1" s="241"/>
      <c r="H1" s="242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23" ht="12.6" customHeight="1" x14ac:dyDescent="0.2"/>
    <row r="24" ht="12.6" customHeight="1" x14ac:dyDescent="0.2"/>
    <row r="25" ht="12.6" customHeight="1" x14ac:dyDescent="0.2"/>
    <row r="27" ht="16.899999999999999" customHeight="1" x14ac:dyDescent="0.2"/>
    <row r="28" ht="12.6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Width="0"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Overview</vt:lpstr>
      <vt:lpstr>Integration</vt:lpstr>
      <vt:lpstr>copy</vt:lpstr>
      <vt:lpstr>Sheet2</vt:lpstr>
      <vt:lpstr>Calibration</vt:lpstr>
      <vt:lpstr>Peak Analysis</vt:lpstr>
      <vt:lpstr>SST</vt:lpstr>
      <vt:lpstr>Summary</vt:lpstr>
      <vt:lpstr>Injection Audit Trail</vt:lpstr>
      <vt:lpstr>Chromatogram</vt:lpstr>
      <vt:lpstr>Calibration!Print_Area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Mayer, Michael</dc:creator>
  <cp:lastModifiedBy>Williamson, Ruth (MU-Student)</cp:lastModifiedBy>
  <dcterms:created xsi:type="dcterms:W3CDTF">2020-07-23T19:30:44Z</dcterms:created>
  <dcterms:modified xsi:type="dcterms:W3CDTF">2026-10-14T22:44:58Z</dcterms:modified>
</cp:coreProperties>
</file>