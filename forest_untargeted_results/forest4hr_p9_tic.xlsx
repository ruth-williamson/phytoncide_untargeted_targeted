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wn54\Documents\github_projects\phytoncide_untargeted_targeted\forest_untargeted_results\"/>
    </mc:Choice>
  </mc:AlternateContent>
  <xr:revisionPtr revIDLastSave="0" documentId="13_ncr:1_{D59C05E7-7F34-445C-820C-0A365686A477}" xr6:coauthVersionLast="47" xr6:coauthVersionMax="47" xr10:uidLastSave="{00000000-0000-0000-0000-000000000000}"/>
  <bookViews>
    <workbookView xWindow="28680" yWindow="-120" windowWidth="29040" windowHeight="15720" tabRatio="845" firstSheet="1" activeTab="3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9" i="9" l="1"/>
  <c r="F169" i="9"/>
  <c r="E169" i="9"/>
  <c r="D169" i="9"/>
  <c r="G169" i="2"/>
  <c r="F169" i="2"/>
  <c r="E169" i="2"/>
  <c r="D169" i="2"/>
  <c r="C51" i="5"/>
</calcChain>
</file>

<file path=xl/sharedStrings.xml><?xml version="1.0" encoding="utf-8"?>
<sst xmlns="http://schemas.openxmlformats.org/spreadsheetml/2006/main" count="1825" uniqueCount="425">
  <si>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</si>
  <si>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</si>
  <si>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</si>
  <si>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</si>
  <si>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</si>
  <si>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</si>
  <si>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</si>
  <si>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</si>
  <si>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</si>
  <si>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</si>
  <si>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</si>
  <si>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</si>
  <si>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</si>
  <si>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</si>
  <si>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</si>
  <si>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</si>
  <si>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</si>
  <si>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</si>
  <si>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</si>
  <si>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</si>
  <si>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</si>
  <si>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</si>
  <si>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</si>
  <si>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</si>
  <si>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</si>
  <si>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</si>
  <si>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</si>
  <si>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</si>
  <si>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</si>
  <si>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</si>
  <si>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</si>
  <si>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</si>
  <si>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</si>
  <si>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</si>
  <si>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</si>
  <si>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</si>
  <si>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</si>
  <si>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</si>
  <si>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</si>
  <si>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forest_p9_4hr</t>
  </si>
  <si>
    <t>Run Time (min):</t>
  </si>
  <si>
    <t>Vial Number:</t>
  </si>
  <si>
    <t>Injection Volume:</t>
  </si>
  <si>
    <t>Injection Type:</t>
  </si>
  <si>
    <t>Channel:</t>
  </si>
  <si>
    <t>TIC</t>
  </si>
  <si>
    <t>Calibration Level:</t>
  </si>
  <si>
    <t>Wavelength:</t>
  </si>
  <si>
    <t>n.a.</t>
  </si>
  <si>
    <t>Instrument Method:</t>
  </si>
  <si>
    <t>Bandwidth:</t>
  </si>
  <si>
    <t>Processing Method:</t>
  </si>
  <si>
    <t>p9_forest_4hr_UT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</si>
  <si>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</si>
  <si>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</si>
  <si>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</si>
  <si>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</si>
  <si>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</si>
  <si>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</si>
  <si>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</si>
  <si>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</si>
  <si>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</si>
  <si>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</si>
  <si>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</si>
  <si>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</si>
  <si>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</si>
  <si>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</si>
  <si>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</si>
  <si>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</si>
  <si>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</si>
  <si>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</si>
  <si>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Isoprene</t>
  </si>
  <si>
    <t>78-79-5</t>
  </si>
  <si>
    <t>C5H8</t>
  </si>
  <si>
    <t>Butane, 1,1,2,3,4,4-hexachloro-1,2,3,4-tetrafluoro-</t>
  </si>
  <si>
    <t>375-43-9</t>
  </si>
  <si>
    <t>C4Cl6F4</t>
  </si>
  <si>
    <t>N'-[(E)-but-2-enyl]acetohydrazide</t>
  </si>
  <si>
    <t>C6H12N2O</t>
  </si>
  <si>
    <t>2-Ethyl-3-methylthiirane 1,1-dioxide</t>
  </si>
  <si>
    <t>C5H10O2S</t>
  </si>
  <si>
    <t>4-Allyl-1,2,4-dithiazolidine-3,5-dione</t>
  </si>
  <si>
    <t>C5H5NO2S2</t>
  </si>
  <si>
    <t>(1S,2S,5R)-8-Methyl-8-azabicyclo[3.2.1]octan-2-ol</t>
  </si>
  <si>
    <t>C8H15NO</t>
  </si>
  <si>
    <t>(2aS*,4aS*,6S*,6aS*,6bS*)-4,6-Diiodo-octahydro-1-oxacyclopenta[c</t>
  </si>
  <si>
    <t>C9H10I2O2</t>
  </si>
  <si>
    <t>(E,Z)-2-Bromo-2-bromomethyl-1-fluoro-1-hydroxymethylcyclopropane</t>
  </si>
  <si>
    <t>C5H7Br2FO</t>
  </si>
  <si>
    <t>2-Chlorocyclohexyl-S-chlorothioformate</t>
  </si>
  <si>
    <t>105214-28-6</t>
  </si>
  <si>
    <t>C7H10Cl2OS</t>
  </si>
  <si>
    <t>Tricyclo[2.2.1.0(2,6)]heptan-3-ol, 1-(chloromethyl)-7-methylene-</t>
  </si>
  <si>
    <t>66728-04-9</t>
  </si>
  <si>
    <t>C9H11ClO</t>
  </si>
  <si>
    <t>cis-1-Phenyl-1,2-difluorobenzocycloheptane</t>
  </si>
  <si>
    <t>C17H16F2</t>
  </si>
  <si>
    <t>4α-tert-Butyl-1α,7β,8α-trihydro-2β-methyl-4β-(deuteriomethyl)-3,</t>
  </si>
  <si>
    <t>C18H29DO5</t>
  </si>
  <si>
    <t>Propanoic acid</t>
  </si>
  <si>
    <t>79-09-4</t>
  </si>
  <si>
    <t>C3H6O2</t>
  </si>
  <si>
    <t>2-(benzenesulfonyl)-4-bromo-3-pyrazolecarboxylic acid</t>
  </si>
  <si>
    <t>130874-34-9</t>
  </si>
  <si>
    <t>C10H7BrN2O4S</t>
  </si>
  <si>
    <t>Methyl 3-hydroxy-2-methyl-3-phenylpropionate</t>
  </si>
  <si>
    <t>C11H14O3</t>
  </si>
  <si>
    <t>Hexadecane, 1-iodo-</t>
  </si>
  <si>
    <t>544-77-4</t>
  </si>
  <si>
    <t>C16H33I</t>
  </si>
  <si>
    <t>1,2,3,5-Cyclohexanetetrol</t>
  </si>
  <si>
    <t>C6H12O4</t>
  </si>
  <si>
    <t>Benzyl (E)-1-hex-1-enyl sulfoxide</t>
  </si>
  <si>
    <t>C13H18OS</t>
  </si>
  <si>
    <t>1-Azaspiro[2.4]hepta-1,4,6-triene</t>
  </si>
  <si>
    <t>C6H5N</t>
  </si>
  <si>
    <t>Propanoic acid, 2,2-dimethyl-, 3-hydroxy-2-(phenylmethoxy)propyl</t>
  </si>
  <si>
    <t>114935-07-8</t>
  </si>
  <si>
    <t>C15H22O4</t>
  </si>
  <si>
    <t>2-(1-hydroxy-2-methylpropan-2-yl)-5,5-dimethyl-1,3-dioxan-4-ol</t>
  </si>
  <si>
    <t>46329-82-2</t>
  </si>
  <si>
    <t>C10H20O4</t>
  </si>
  <si>
    <t>Cyclotrisiloxane, hexamethyl-</t>
  </si>
  <si>
    <t>541-05-9</t>
  </si>
  <si>
    <t>C6H18O3Si3</t>
  </si>
  <si>
    <t>Arsenous acid, tris(trimethylsilyl) ester</t>
  </si>
  <si>
    <t>55429-29-3</t>
  </si>
  <si>
    <t>C9H27AsO3Si3</t>
  </si>
  <si>
    <t>1-(3-Methylphenyl)-1H-indole</t>
  </si>
  <si>
    <t>C15H13N</t>
  </si>
  <si>
    <t>(2R,3S,4R)-2,4,7-trimethyl-4-(phenylthio)octane-1,3-diol</t>
  </si>
  <si>
    <t>C17H28O2S</t>
  </si>
  <si>
    <t>2-Methylallyl N,N-Dimethylselenocarbamate</t>
  </si>
  <si>
    <t>C7H13NOSe</t>
  </si>
  <si>
    <t>(1Z,3Z)-1,4-Di(4-pyridyl)-1,3-butadiene</t>
  </si>
  <si>
    <t>C14H12N2</t>
  </si>
  <si>
    <t>1-Benzyl-1H-indole</t>
  </si>
  <si>
    <t>6,7-Diazabicyclo[3.2.2]nona-3,6-diene, 2-methylene-</t>
  </si>
  <si>
    <t>106362-91-8</t>
  </si>
  <si>
    <t>C8H10N2</t>
  </si>
  <si>
    <t>Phenylethyne</t>
  </si>
  <si>
    <t>536-74-3</t>
  </si>
  <si>
    <t>C8H6</t>
  </si>
  <si>
    <t>Tetrahydrorhombifoline</t>
  </si>
  <si>
    <t>C15H24N2O</t>
  </si>
  <si>
    <t>1-Anilino-3-(N,N-dimethylamino)cyclobutenediylium-2,4-diolate</t>
  </si>
  <si>
    <t>C12H12N2O2</t>
  </si>
  <si>
    <t>p-Benzoquinone</t>
  </si>
  <si>
    <t>106-51-4</t>
  </si>
  <si>
    <t>C6H4O2</t>
  </si>
  <si>
    <t>trans-3,6-Dimethoxy-1,2,3,4,5,6-hexamethylcyclohexa-1,4-diene</t>
  </si>
  <si>
    <t>C14H24O2</t>
  </si>
  <si>
    <t>3-Methylenedihydro-2,5-furandione</t>
  </si>
  <si>
    <t>2170-03-8</t>
  </si>
  <si>
    <t>C5H4O3</t>
  </si>
  <si>
    <t>Propanoic acid, 2-(aminooxy)-</t>
  </si>
  <si>
    <t>2786-22-3</t>
  </si>
  <si>
    <t>C3H7NO3</t>
  </si>
  <si>
    <t>Benzaldehyde</t>
  </si>
  <si>
    <t>100-52-7</t>
  </si>
  <si>
    <t>C7H6O</t>
  </si>
  <si>
    <t>Cyclotetrasiloxane, octamethyl-</t>
  </si>
  <si>
    <t>556-67-2</t>
  </si>
  <si>
    <t>C8H24O4Si4</t>
  </si>
  <si>
    <t>1,1,1,3,3,5,5,7,7-Nonamethyltetrasiloxane</t>
  </si>
  <si>
    <t>C9H28O3Si4</t>
  </si>
  <si>
    <t>Benzene, isocyano-</t>
  </si>
  <si>
    <t>931-54-4</t>
  </si>
  <si>
    <t>C7H5N</t>
  </si>
  <si>
    <t>1-Heptanol, 2-propyl-</t>
  </si>
  <si>
    <t>10042-59-8</t>
  </si>
  <si>
    <t>C10H22O</t>
  </si>
  <si>
    <t>Benzofuran</t>
  </si>
  <si>
    <t>271-89-6</t>
  </si>
  <si>
    <t>C8H6O</t>
  </si>
  <si>
    <t>4,4-Dimethylpentan-1-ol</t>
  </si>
  <si>
    <t>C7H16O</t>
  </si>
  <si>
    <t>1,4-Cyclohexadiene, 1,6,6-trimethyl-3-methylene-</t>
  </si>
  <si>
    <t>94925-96-9</t>
  </si>
  <si>
    <t>C10H14</t>
  </si>
  <si>
    <t>4H-Cyclopenta[b]furan, 5,6-dihydro-</t>
  </si>
  <si>
    <t>59953-84-3</t>
  </si>
  <si>
    <t>C7H8O</t>
  </si>
  <si>
    <t>Benzeneacetaldehyde</t>
  </si>
  <si>
    <t>122-78-1</t>
  </si>
  <si>
    <t>C8H8O</t>
  </si>
  <si>
    <t>Acetophenone</t>
  </si>
  <si>
    <t>98-86-2</t>
  </si>
  <si>
    <t>Ethanone, 2,2-dihydroxy-1-phenyl-</t>
  </si>
  <si>
    <t>1075-06-5</t>
  </si>
  <si>
    <t>C8H8O3</t>
  </si>
  <si>
    <t>Nonanal</t>
  </si>
  <si>
    <t>124-19-6</t>
  </si>
  <si>
    <t>C9H18O</t>
  </si>
  <si>
    <t>5-Benzoyl-2-(4-methylphenyl)-4-methylselenazole</t>
  </si>
  <si>
    <t>C18H15NOSe</t>
  </si>
  <si>
    <t>Cyclopentasiloxane, decamethyl-</t>
  </si>
  <si>
    <t>541-02-6</t>
  </si>
  <si>
    <t>C10H30O5Si5</t>
  </si>
  <si>
    <t>Benzoic acid</t>
  </si>
  <si>
    <t>65-85-0</t>
  </si>
  <si>
    <t>C7H6O2</t>
  </si>
  <si>
    <t>2-Hydroxy-1-phenyl-3-(phenylsulfonyl)propan-1-one</t>
  </si>
  <si>
    <t>C15H14O4S</t>
  </si>
  <si>
    <t>Decanal</t>
  </si>
  <si>
    <t>112-31-2</t>
  </si>
  <si>
    <t>C10H20O</t>
  </si>
  <si>
    <t>Methyl salicylate</t>
  </si>
  <si>
    <t>119-36-8</t>
  </si>
  <si>
    <t>4H-1,3-benzothiazin-2-yl(phenyl)methanone</t>
  </si>
  <si>
    <t>C15H11NOS</t>
  </si>
  <si>
    <t>3(2H)-Benzofuranone</t>
  </si>
  <si>
    <t>7169-34-8</t>
  </si>
  <si>
    <t>C8H6O2</t>
  </si>
  <si>
    <t>Benzeneacetic acid</t>
  </si>
  <si>
    <t>103-82-2</t>
  </si>
  <si>
    <t>C8H8O2</t>
  </si>
  <si>
    <t>1-Benzofuran-2(3H)-one</t>
  </si>
  <si>
    <t>553-86-6</t>
  </si>
  <si>
    <t>Benz[b]1,4-oxazin-3(2H)-one, 4-benzoyl-</t>
  </si>
  <si>
    <t>337470-63-0</t>
  </si>
  <si>
    <t>C15H11NO3</t>
  </si>
  <si>
    <t>Benzene, (1-bromo-3-methylbutyl-4-13C)-</t>
  </si>
  <si>
    <t>65128-29-2</t>
  </si>
  <si>
    <t>C11H15Br</t>
  </si>
  <si>
    <t>(E)-3-iodanyl-2-nitro-3-phenyl-prop-2-en-1-ol</t>
  </si>
  <si>
    <t>C9H8INO3</t>
  </si>
  <si>
    <t>1,7-Dioxaspiro[5.5]undecane-4,5-diol, 2-ethyl-3-methyl-10-(pheny</t>
  </si>
  <si>
    <t>116315-51-6</t>
  </si>
  <si>
    <t>C29H38O7</t>
  </si>
  <si>
    <t>Cyclohexasiloxane, dodecamethyl-</t>
  </si>
  <si>
    <t>540-97-6</t>
  </si>
  <si>
    <t>C12H36O6Si6</t>
  </si>
  <si>
    <t>2-Phenyltetrahydrofuran</t>
  </si>
  <si>
    <t>C10H12O</t>
  </si>
  <si>
    <t>1,2-Benzenedicarboxylic acid</t>
  </si>
  <si>
    <t>88-99-3</t>
  </si>
  <si>
    <t>C8H6O4</t>
  </si>
  <si>
    <t>5-Acetoxy-1,5-diphenyl-pentan-1-one</t>
  </si>
  <si>
    <t>C19H20O3</t>
  </si>
  <si>
    <t>1(3H)-Isobenzofuranone</t>
  </si>
  <si>
    <t>87-41-2</t>
  </si>
  <si>
    <t>Benzoyl bromide</t>
  </si>
  <si>
    <t>618-32-6</t>
  </si>
  <si>
    <t>C7H5BrO</t>
  </si>
  <si>
    <t>3-octyl-1,1,1,3,5,5,5-heptamethyltrisiloxane</t>
  </si>
  <si>
    <t>C15H38O2Si3</t>
  </si>
  <si>
    <t>(R)-3-(4,7-dihydro-1H-indol-2-yl)-3-(4-nitrophenyl)propanal</t>
  </si>
  <si>
    <t>C17H16N2O3</t>
  </si>
  <si>
    <t>3-cyano-1,1-difluoro-2-{[4-(morpholin-4-yl)phenyl]imino}-1H,2H-2</t>
  </si>
  <si>
    <t>C21H18BF2N5O</t>
  </si>
  <si>
    <t>3-Iodo-2-(4-methoxyphenyl)-4H-thieno[3,2-b]indole</t>
  </si>
  <si>
    <t>C17H12INOS</t>
  </si>
  <si>
    <t>(10E)-3-((E)-4,8-dimethylnona-3,7-dien-1-yl)-N,N-diethyl-11,15-d</t>
  </si>
  <si>
    <t>C34H59N</t>
  </si>
  <si>
    <t>7-oxohyocholic acid methyl ester</t>
  </si>
  <si>
    <t>C25H40O5</t>
  </si>
  <si>
    <t>2-Ethoxybenzoic acid ethyl ester</t>
  </si>
  <si>
    <t>75333-22-1</t>
  </si>
  <si>
    <t>Phenylmaleic anhydride</t>
  </si>
  <si>
    <t>36122-35-7</t>
  </si>
  <si>
    <t>C10H6O3</t>
  </si>
  <si>
    <t>Heptasiloxane, 1,1,3,3,5,5,7,7,9,9,11,11,13,13-tetradecamethyl-</t>
  </si>
  <si>
    <t>19095-23-9</t>
  </si>
  <si>
    <t>C14H44O6Si7</t>
  </si>
  <si>
    <t>4-Cyclopentene-1,3-dione, 4-phenyl-</t>
  </si>
  <si>
    <t>51306-96-8</t>
  </si>
  <si>
    <t>C11H8O2</t>
  </si>
  <si>
    <t>Benzophenone</t>
  </si>
  <si>
    <t>119-61-9</t>
  </si>
  <si>
    <t>C13H10O</t>
  </si>
  <si>
    <t>Heptasiloxane, hexadecamethyl-</t>
  </si>
  <si>
    <t>541-01-5</t>
  </si>
  <si>
    <t>C16H48O6Si7</t>
  </si>
  <si>
    <t>1,1,1,3,5,7,9,9,9-Nonamethylpentasiloxane</t>
  </si>
  <si>
    <t>84409-41-6</t>
  </si>
  <si>
    <t>C9H30O4Si5</t>
  </si>
  <si>
    <t>Hyocholic acid methylester</t>
  </si>
  <si>
    <t>C25H42O5</t>
  </si>
  <si>
    <t>2-(tert.-Butyldimethylsilyl)oxybenzylidene acetophenone</t>
  </si>
  <si>
    <t>C21H26O2Si</t>
  </si>
  <si>
    <t>Octasiloxane, 1,1,3,3,5,5,7,7,9,9,11,11,13,13,15,15-hexadecameth</t>
  </si>
  <si>
    <t>19095-24-0</t>
  </si>
  <si>
    <t>C16H50O7Si8</t>
  </si>
  <si>
    <t>Hexasiloxane, 1,1,3,3,5,5,7,7,9,9,11,11-dodecamethyl-</t>
  </si>
  <si>
    <t>995-82-4</t>
  </si>
  <si>
    <t>C12H38O5Si6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</si>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</sst>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7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center"/>
    </xf>
    <xf numFmtId="171" fontId="5" fillId="8" borderId="23" xfId="0" applyNumberFormat="1" applyFont="1" applyFill="1" applyBorder="1"/>
    <xf numFmtId="170" fontId="5" fillId="8" borderId="23" xfId="0" applyNumberFormat="1" applyFont="1" applyFill="1" applyBorder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4A807-5C8A-4222-97EA-080E2A684E0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40" t="s">
        <v>0</v>
      </c>
      <c r="B1" s="241"/>
      <c r="C1" s="241"/>
      <c r="D1" s="241"/>
      <c r="E1" s="241"/>
      <c r="F1" s="241"/>
      <c r="G1" s="242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69"/>
  <sheetViews>
    <sheetView showOutlineSymbols="0" topLeftCell="A16" zoomScaleNormal="100" zoomScaleSheetLayoutView="100" workbookViewId="0">
      <selection activeCell="A16" sqref="A1:XFD1048576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46286.928472222222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45</v>
      </c>
      <c r="B43" s="63" t="s">
        <v>45</v>
      </c>
      <c r="C43" s="64" t="s">
        <v>45</v>
      </c>
      <c r="D43" s="64" t="s">
        <v>45</v>
      </c>
      <c r="E43" s="64" t="s">
        <v>45</v>
      </c>
      <c r="F43" s="64" t="s">
        <v>45</v>
      </c>
      <c r="G43" s="64" t="s">
        <v>45</v>
      </c>
      <c r="H43" s="64" t="s">
        <v>45</v>
      </c>
      <c r="I43" s="64" t="s">
        <v>45</v>
      </c>
      <c r="J43" s="58"/>
    </row>
    <row r="44" spans="1:10" ht="12.75" customHeight="1" x14ac:dyDescent="0.2">
      <c r="A44" s="65">
        <v>1</v>
      </c>
      <c r="B44" s="66" t="s">
        <v>71</v>
      </c>
      <c r="C44" s="67">
        <v>3.1497833333333336</v>
      </c>
      <c r="D44" s="68">
        <v>53.500991666666891</v>
      </c>
      <c r="E44" s="67">
        <v>2495.2609238451987</v>
      </c>
      <c r="F44" s="69">
        <v>4.5053549985698549E-2</v>
      </c>
      <c r="G44" s="70">
        <v>9.4686303258670362E-2</v>
      </c>
      <c r="H44" s="66" t="s">
        <v>72</v>
      </c>
      <c r="I44" s="66" t="s">
        <v>73</v>
      </c>
    </row>
    <row r="45" spans="1:10" ht="12.75" customHeight="1" x14ac:dyDescent="0.2">
      <c r="A45" s="71">
        <v>2</v>
      </c>
      <c r="B45" s="72" t="s">
        <v>71</v>
      </c>
      <c r="C45" s="73">
        <v>3.1955666666666667</v>
      </c>
      <c r="D45" s="74">
        <v>13.796208333333198</v>
      </c>
      <c r="E45" s="73">
        <v>1507.7449039021521</v>
      </c>
      <c r="F45" s="75">
        <v>1.1617881134457516E-2</v>
      </c>
      <c r="G45" s="76">
        <v>5.7213572273474483E-2</v>
      </c>
      <c r="H45" s="72" t="s">
        <v>72</v>
      </c>
      <c r="I45" s="72" t="s">
        <v>73</v>
      </c>
    </row>
    <row r="46" spans="1:10" ht="12.75" customHeight="1" x14ac:dyDescent="0.2">
      <c r="A46" s="71">
        <v>3</v>
      </c>
      <c r="B46" s="72" t="s">
        <v>74</v>
      </c>
      <c r="C46" s="73">
        <v>3.2470666666666665</v>
      </c>
      <c r="D46" s="74">
        <v>11.293349999999805</v>
      </c>
      <c r="E46" s="73">
        <v>124.85693483799696</v>
      </c>
      <c r="F46" s="75">
        <v>9.5102070612269538E-3</v>
      </c>
      <c r="G46" s="76">
        <v>4.7378779040872978E-3</v>
      </c>
      <c r="H46" s="72" t="s">
        <v>75</v>
      </c>
      <c r="I46" s="72" t="s">
        <v>76</v>
      </c>
    </row>
    <row r="47" spans="1:10" ht="12.75" customHeight="1" x14ac:dyDescent="0.2">
      <c r="A47" s="71">
        <v>4</v>
      </c>
      <c r="B47" s="72" t="s">
        <v>74</v>
      </c>
      <c r="C47" s="73">
        <v>3.3672166666666667</v>
      </c>
      <c r="D47" s="74">
        <v>62.363249999999766</v>
      </c>
      <c r="E47" s="73">
        <v>1617.2038834951436</v>
      </c>
      <c r="F47" s="75">
        <v>5.25165181731789E-2</v>
      </c>
      <c r="G47" s="76">
        <v>6.1367152380902797E-2</v>
      </c>
      <c r="H47" s="72" t="s">
        <v>75</v>
      </c>
      <c r="I47" s="72" t="s">
        <v>76</v>
      </c>
    </row>
    <row r="48" spans="1:10" ht="12.75" customHeight="1" x14ac:dyDescent="0.2">
      <c r="A48" s="71">
        <v>5</v>
      </c>
      <c r="B48" s="72" t="s">
        <v>74</v>
      </c>
      <c r="C48" s="73">
        <v>3.5617666666666667</v>
      </c>
      <c r="D48" s="74">
        <v>3.5520500000000652</v>
      </c>
      <c r="E48" s="73">
        <v>313.63398058252506</v>
      </c>
      <c r="F48" s="75">
        <v>2.9912055317361463E-3</v>
      </c>
      <c r="G48" s="76">
        <v>1.190129734084003E-2</v>
      </c>
      <c r="H48" s="72" t="s">
        <v>75</v>
      </c>
      <c r="I48" s="72" t="s">
        <v>76</v>
      </c>
    </row>
    <row r="49" spans="1:9" ht="12.75" customHeight="1" x14ac:dyDescent="0.2">
      <c r="A49" s="71">
        <v>6</v>
      </c>
      <c r="B49" s="72" t="s">
        <v>74</v>
      </c>
      <c r="C49" s="73">
        <v>3.7448666666666668</v>
      </c>
      <c r="D49" s="74">
        <v>243.37344166666708</v>
      </c>
      <c r="E49" s="73">
        <v>4120.4215309332403</v>
      </c>
      <c r="F49" s="75">
        <v>0.20494643515462493</v>
      </c>
      <c r="G49" s="76">
        <v>0.15635538508344934</v>
      </c>
      <c r="H49" s="72" t="s">
        <v>75</v>
      </c>
      <c r="I49" s="72" t="s">
        <v>76</v>
      </c>
    </row>
    <row r="50" spans="1:9" ht="12.75" customHeight="1" x14ac:dyDescent="0.2">
      <c r="A50" s="71">
        <v>7</v>
      </c>
      <c r="B50" s="72" t="s">
        <v>77</v>
      </c>
      <c r="C50" s="73">
        <v>3.8822000000000001</v>
      </c>
      <c r="D50" s="74">
        <v>34.977716666666709</v>
      </c>
      <c r="E50" s="73">
        <v>931.23997311225639</v>
      </c>
      <c r="F50" s="75">
        <v>2.9454973770310425E-2</v>
      </c>
      <c r="G50" s="76">
        <v>3.5337254576497105E-2</v>
      </c>
      <c r="H50" s="72" t="s">
        <v>23</v>
      </c>
      <c r="I50" s="72" t="s">
        <v>78</v>
      </c>
    </row>
    <row r="51" spans="1:9" ht="12.75" customHeight="1" x14ac:dyDescent="0.2">
      <c r="A51" s="71">
        <v>8</v>
      </c>
      <c r="B51" s="72" t="s">
        <v>79</v>
      </c>
      <c r="C51" s="73">
        <v>3.9508666666666667</v>
      </c>
      <c r="D51" s="74">
        <v>56.75137500000011</v>
      </c>
      <c r="E51" s="73">
        <v>959.83425575298588</v>
      </c>
      <c r="F51" s="75">
        <v>4.779071995991882E-2</v>
      </c>
      <c r="G51" s="76">
        <v>3.6422306200441915E-2</v>
      </c>
      <c r="H51" s="72" t="s">
        <v>23</v>
      </c>
      <c r="I51" s="72" t="s">
        <v>80</v>
      </c>
    </row>
    <row r="52" spans="1:9" ht="12.75" customHeight="1" x14ac:dyDescent="0.2">
      <c r="A52" s="71">
        <v>10</v>
      </c>
      <c r="B52" s="72" t="s">
        <v>81</v>
      </c>
      <c r="C52" s="73">
        <v>4.3342333333333336</v>
      </c>
      <c r="D52" s="74">
        <v>0.36530000000001905</v>
      </c>
      <c r="E52" s="73">
        <v>347.23892773893112</v>
      </c>
      <c r="F52" s="75">
        <v>3.076216215265132E-4</v>
      </c>
      <c r="G52" s="76">
        <v>1.3176485914121457E-2</v>
      </c>
      <c r="H52" s="72" t="s">
        <v>23</v>
      </c>
      <c r="I52" s="72" t="s">
        <v>82</v>
      </c>
    </row>
    <row r="53" spans="1:9" ht="12.75" customHeight="1" x14ac:dyDescent="0.2">
      <c r="A53" s="71">
        <v>11</v>
      </c>
      <c r="B53" s="72" t="s">
        <v>83</v>
      </c>
      <c r="C53" s="73">
        <v>4.420066666666667</v>
      </c>
      <c r="D53" s="74">
        <v>21.12976666666664</v>
      </c>
      <c r="E53" s="73">
        <v>758.68009708737986</v>
      </c>
      <c r="F53" s="75">
        <v>1.7793520625449002E-2</v>
      </c>
      <c r="G53" s="76">
        <v>2.8789219220582692E-2</v>
      </c>
      <c r="H53" s="72" t="s">
        <v>23</v>
      </c>
      <c r="I53" s="72" t="s">
        <v>84</v>
      </c>
    </row>
    <row r="54" spans="1:9" ht="12.75" customHeight="1" x14ac:dyDescent="0.2">
      <c r="A54" s="71">
        <v>15</v>
      </c>
      <c r="B54" s="72" t="s">
        <v>85</v>
      </c>
      <c r="C54" s="73">
        <v>4.7176</v>
      </c>
      <c r="D54" s="74">
        <v>5.4201083333333671</v>
      </c>
      <c r="E54" s="73">
        <v>256.27436440677968</v>
      </c>
      <c r="F54" s="75">
        <v>4.5643101953169729E-3</v>
      </c>
      <c r="G54" s="76">
        <v>9.7247033181002661E-3</v>
      </c>
      <c r="H54" s="72" t="s">
        <v>23</v>
      </c>
      <c r="I54" s="72" t="s">
        <v>86</v>
      </c>
    </row>
    <row r="55" spans="1:9" ht="12.75" customHeight="1" x14ac:dyDescent="0.2">
      <c r="A55" s="71">
        <v>16</v>
      </c>
      <c r="B55" s="72" t="s">
        <v>87</v>
      </c>
      <c r="C55" s="73">
        <v>4.8320499999999997</v>
      </c>
      <c r="D55" s="74">
        <v>10.52298333333324</v>
      </c>
      <c r="E55" s="73">
        <v>412.54805401111969</v>
      </c>
      <c r="F55" s="75">
        <v>8.8614760369457313E-3</v>
      </c>
      <c r="G55" s="76">
        <v>1.5654735654127758E-2</v>
      </c>
      <c r="H55" s="72" t="s">
        <v>23</v>
      </c>
      <c r="I55" s="72" t="s">
        <v>88</v>
      </c>
    </row>
    <row r="56" spans="1:9" ht="12.75" customHeight="1" x14ac:dyDescent="0.2">
      <c r="A56" s="71">
        <v>17</v>
      </c>
      <c r="B56" s="72" t="s">
        <v>85</v>
      </c>
      <c r="C56" s="73">
        <v>4.9064333333333332</v>
      </c>
      <c r="D56" s="74">
        <v>6.6439416666666968</v>
      </c>
      <c r="E56" s="73">
        <v>288.13732833957624</v>
      </c>
      <c r="F56" s="75">
        <v>5.5949085924650076E-3</v>
      </c>
      <c r="G56" s="76">
        <v>1.0933789805541296E-2</v>
      </c>
      <c r="H56" s="72" t="s">
        <v>23</v>
      </c>
      <c r="I56" s="72" t="s">
        <v>86</v>
      </c>
    </row>
    <row r="57" spans="1:9" ht="12.75" customHeight="1" x14ac:dyDescent="0.2">
      <c r="A57" s="71">
        <v>18</v>
      </c>
      <c r="B57" s="72" t="s">
        <v>87</v>
      </c>
      <c r="C57" s="73">
        <v>4.9751000000000003</v>
      </c>
      <c r="D57" s="74">
        <v>5.7396666666666221</v>
      </c>
      <c r="E57" s="73">
        <v>433.29379941739541</v>
      </c>
      <c r="F57" s="75">
        <v>4.8334124473626361E-3</v>
      </c>
      <c r="G57" s="76">
        <v>1.6441963122844235E-2</v>
      </c>
      <c r="H57" s="72" t="s">
        <v>23</v>
      </c>
      <c r="I57" s="72" t="s">
        <v>88</v>
      </c>
    </row>
    <row r="58" spans="1:9" ht="12.75" customHeight="1" x14ac:dyDescent="0.2">
      <c r="A58" s="71">
        <v>19</v>
      </c>
      <c r="B58" s="72" t="s">
        <v>89</v>
      </c>
      <c r="C58" s="73">
        <v>5.1467499999999999</v>
      </c>
      <c r="D58" s="74">
        <v>225.42961150974756</v>
      </c>
      <c r="E58" s="73">
        <v>3344.16208769582</v>
      </c>
      <c r="F58" s="75">
        <v>0.18983581339369518</v>
      </c>
      <c r="G58" s="76">
        <v>0.1268990920171035</v>
      </c>
      <c r="H58" s="72" t="s">
        <v>90</v>
      </c>
      <c r="I58" s="72" t="s">
        <v>91</v>
      </c>
    </row>
    <row r="59" spans="1:9" ht="12.75" customHeight="1" x14ac:dyDescent="0.2">
      <c r="A59" s="71">
        <v>20</v>
      </c>
      <c r="B59" s="72" t="s">
        <v>92</v>
      </c>
      <c r="C59" s="73">
        <v>5.1925333333333334</v>
      </c>
      <c r="D59" s="74">
        <v>235.54101774515263</v>
      </c>
      <c r="E59" s="73">
        <v>4386.64835078328</v>
      </c>
      <c r="F59" s="75">
        <v>0.19835069754931645</v>
      </c>
      <c r="G59" s="76">
        <v>0.16645774879179717</v>
      </c>
      <c r="H59" s="72" t="s">
        <v>93</v>
      </c>
      <c r="I59" s="72" t="s">
        <v>94</v>
      </c>
    </row>
    <row r="60" spans="1:9" ht="12.75" customHeight="1" x14ac:dyDescent="0.2">
      <c r="A60" s="71">
        <v>21</v>
      </c>
      <c r="B60" s="72" t="s">
        <v>92</v>
      </c>
      <c r="C60" s="73">
        <v>5.2612000000000005</v>
      </c>
      <c r="D60" s="74">
        <v>242.62694508711783</v>
      </c>
      <c r="E60" s="73">
        <v>4446.3780209399356</v>
      </c>
      <c r="F60" s="75">
        <v>0.20431780529351098</v>
      </c>
      <c r="G60" s="76">
        <v>0.16872427795832548</v>
      </c>
      <c r="H60" s="72" t="s">
        <v>93</v>
      </c>
      <c r="I60" s="72" t="s">
        <v>94</v>
      </c>
    </row>
    <row r="61" spans="1:9" ht="12.75" customHeight="1" x14ac:dyDescent="0.2">
      <c r="A61" s="71">
        <v>22</v>
      </c>
      <c r="B61" s="72" t="s">
        <v>95</v>
      </c>
      <c r="C61" s="73">
        <v>5.3184166666666668</v>
      </c>
      <c r="D61" s="74">
        <v>261.0478569215939</v>
      </c>
      <c r="E61" s="73">
        <v>4137.4862630874595</v>
      </c>
      <c r="F61" s="75">
        <v>0.21983018078904393</v>
      </c>
      <c r="G61" s="76">
        <v>0.15700293115301725</v>
      </c>
      <c r="H61" s="72" t="s">
        <v>23</v>
      </c>
      <c r="I61" s="72" t="s">
        <v>96</v>
      </c>
    </row>
    <row r="62" spans="1:9" ht="12.75" customHeight="1" x14ac:dyDescent="0.2">
      <c r="A62" s="71">
        <v>23</v>
      </c>
      <c r="B62" s="72" t="s">
        <v>97</v>
      </c>
      <c r="C62" s="73">
        <v>5.375633333333333</v>
      </c>
      <c r="D62" s="74">
        <v>158.9206937363881</v>
      </c>
      <c r="E62" s="73">
        <v>3148.5945052349839</v>
      </c>
      <c r="F62" s="75">
        <v>0.13382820011306745</v>
      </c>
      <c r="G62" s="76">
        <v>0.11947799579285931</v>
      </c>
      <c r="H62" s="72" t="s">
        <v>23</v>
      </c>
      <c r="I62" s="72" t="s">
        <v>98</v>
      </c>
    </row>
    <row r="63" spans="1:9" ht="12.75" customHeight="1" x14ac:dyDescent="0.2">
      <c r="A63" s="71">
        <v>24</v>
      </c>
      <c r="B63" s="72" t="s">
        <v>99</v>
      </c>
      <c r="C63" s="73">
        <v>5.5472999999999999</v>
      </c>
      <c r="D63" s="74">
        <v>90.271516666666699</v>
      </c>
      <c r="E63" s="73">
        <v>1623.9951456310678</v>
      </c>
      <c r="F63" s="75">
        <v>7.6018259881347444E-2</v>
      </c>
      <c r="G63" s="76">
        <v>6.1624856695496201E-2</v>
      </c>
      <c r="H63" s="72" t="s">
        <v>100</v>
      </c>
      <c r="I63" s="72" t="s">
        <v>101</v>
      </c>
    </row>
    <row r="64" spans="1:9" ht="12.75" customHeight="1" x14ac:dyDescent="0.2">
      <c r="A64" s="71">
        <v>25</v>
      </c>
      <c r="B64" s="72" t="s">
        <v>102</v>
      </c>
      <c r="C64" s="73">
        <v>5.6960666666666668</v>
      </c>
      <c r="D64" s="74">
        <v>15.165724999999863</v>
      </c>
      <c r="E64" s="73">
        <v>701.85310029130267</v>
      </c>
      <c r="F64" s="75">
        <v>1.2771160460237871E-2</v>
      </c>
      <c r="G64" s="76">
        <v>2.6632836214503661E-2</v>
      </c>
      <c r="H64" s="72" t="s">
        <v>103</v>
      </c>
      <c r="I64" s="72" t="s">
        <v>104</v>
      </c>
    </row>
    <row r="65" spans="1:9" ht="12.75" customHeight="1" x14ac:dyDescent="0.2">
      <c r="A65" s="71">
        <v>26</v>
      </c>
      <c r="B65" s="72" t="s">
        <v>102</v>
      </c>
      <c r="C65" s="73">
        <v>5.7990666666666666</v>
      </c>
      <c r="D65" s="74">
        <v>1.8676249999999666</v>
      </c>
      <c r="E65" s="73">
        <v>477.4577751892794</v>
      </c>
      <c r="F65" s="75">
        <v>1.5727397506252777E-3</v>
      </c>
      <c r="G65" s="76">
        <v>1.8117829387203129E-2</v>
      </c>
      <c r="H65" s="72" t="s">
        <v>103</v>
      </c>
      <c r="I65" s="72" t="s">
        <v>104</v>
      </c>
    </row>
    <row r="66" spans="1:9" ht="12.75" customHeight="1" x14ac:dyDescent="0.2">
      <c r="A66" s="71">
        <v>27</v>
      </c>
      <c r="B66" s="72" t="s">
        <v>105</v>
      </c>
      <c r="C66" s="73">
        <v>5.8448333333333338</v>
      </c>
      <c r="D66" s="74">
        <v>13.76196666666673</v>
      </c>
      <c r="E66" s="73">
        <v>767.60597232338034</v>
      </c>
      <c r="F66" s="75">
        <v>1.15890459934126E-2</v>
      </c>
      <c r="G66" s="76">
        <v>2.9127924532467521E-2</v>
      </c>
      <c r="H66" s="72" t="s">
        <v>23</v>
      </c>
      <c r="I66" s="72" t="s">
        <v>106</v>
      </c>
    </row>
    <row r="67" spans="1:9" ht="12.75" customHeight="1" x14ac:dyDescent="0.2">
      <c r="A67" s="71">
        <v>29</v>
      </c>
      <c r="B67" s="72" t="s">
        <v>85</v>
      </c>
      <c r="C67" s="73">
        <v>5.9249499999999999</v>
      </c>
      <c r="D67" s="74">
        <v>1.6198416666667486</v>
      </c>
      <c r="E67" s="73">
        <v>163.59464181712329</v>
      </c>
      <c r="F67" s="75">
        <v>1.3640797156206101E-3</v>
      </c>
      <c r="G67" s="76">
        <v>6.2078365106280455E-3</v>
      </c>
      <c r="H67" s="72" t="s">
        <v>23</v>
      </c>
      <c r="I67" s="72" t="s">
        <v>86</v>
      </c>
    </row>
    <row r="68" spans="1:9" ht="12.75" customHeight="1" x14ac:dyDescent="0.2">
      <c r="A68" s="71">
        <v>34</v>
      </c>
      <c r="B68" s="72" t="s">
        <v>107</v>
      </c>
      <c r="C68" s="73">
        <v>6.3083166666666672</v>
      </c>
      <c r="D68" s="74">
        <v>12.539100000000037</v>
      </c>
      <c r="E68" s="73">
        <v>475.26286407767066</v>
      </c>
      <c r="F68" s="75">
        <v>1.0559261632857683E-2</v>
      </c>
      <c r="G68" s="76">
        <v>1.8034540294205453E-2</v>
      </c>
      <c r="H68" s="72" t="s">
        <v>108</v>
      </c>
      <c r="I68" s="72" t="s">
        <v>109</v>
      </c>
    </row>
    <row r="69" spans="1:9" ht="12.75" customHeight="1" x14ac:dyDescent="0.2">
      <c r="A69" s="71">
        <v>35</v>
      </c>
      <c r="B69" s="72" t="s">
        <v>85</v>
      </c>
      <c r="C69" s="73">
        <v>6.4341999999999997</v>
      </c>
      <c r="D69" s="74">
        <v>6.1590833333332995</v>
      </c>
      <c r="E69" s="73">
        <v>494.54514563106341</v>
      </c>
      <c r="F69" s="75">
        <v>5.1866060829915484E-3</v>
      </c>
      <c r="G69" s="76">
        <v>1.8766234499503272E-2</v>
      </c>
      <c r="H69" s="72" t="s">
        <v>23</v>
      </c>
      <c r="I69" s="72" t="s">
        <v>86</v>
      </c>
    </row>
    <row r="70" spans="1:9" ht="12.75" customHeight="1" x14ac:dyDescent="0.2">
      <c r="A70" s="71">
        <v>36</v>
      </c>
      <c r="B70" s="72" t="s">
        <v>85</v>
      </c>
      <c r="C70" s="73">
        <v>6.4570833333333333</v>
      </c>
      <c r="D70" s="74">
        <v>9.8091083333333717</v>
      </c>
      <c r="E70" s="73">
        <v>361.8824171823822</v>
      </c>
      <c r="F70" s="75">
        <v>8.2603170304656106E-3</v>
      </c>
      <c r="G70" s="76">
        <v>1.3732154409130426E-2</v>
      </c>
      <c r="H70" s="72" t="s">
        <v>23</v>
      </c>
      <c r="I70" s="72" t="s">
        <v>86</v>
      </c>
    </row>
    <row r="71" spans="1:9" ht="12.75" customHeight="1" x14ac:dyDescent="0.2">
      <c r="A71" s="71">
        <v>40</v>
      </c>
      <c r="B71" s="72" t="s">
        <v>110</v>
      </c>
      <c r="C71" s="73">
        <v>6.8118499999999997</v>
      </c>
      <c r="D71" s="74">
        <v>24.693741666666689</v>
      </c>
      <c r="E71" s="73">
        <v>944.35501618123476</v>
      </c>
      <c r="F71" s="75">
        <v>2.0794768281019525E-2</v>
      </c>
      <c r="G71" s="76">
        <v>3.5834923951836892E-2</v>
      </c>
      <c r="H71" s="72" t="s">
        <v>23</v>
      </c>
      <c r="I71" s="72" t="s">
        <v>111</v>
      </c>
    </row>
    <row r="72" spans="1:9" ht="12.75" customHeight="1" x14ac:dyDescent="0.2">
      <c r="A72" s="71">
        <v>41</v>
      </c>
      <c r="B72" s="72" t="s">
        <v>112</v>
      </c>
      <c r="C72" s="73">
        <v>6.8919500000000005</v>
      </c>
      <c r="D72" s="74">
        <v>205.71733333333358</v>
      </c>
      <c r="E72" s="73">
        <v>6296.3058438012013</v>
      </c>
      <c r="F72" s="75">
        <v>0.17323596949385983</v>
      </c>
      <c r="G72" s="76">
        <v>0.23892247854256243</v>
      </c>
      <c r="H72" s="72" t="s">
        <v>23</v>
      </c>
      <c r="I72" s="72" t="s">
        <v>113</v>
      </c>
    </row>
    <row r="73" spans="1:9" ht="12.75" customHeight="1" x14ac:dyDescent="0.2">
      <c r="A73" s="71">
        <v>42</v>
      </c>
      <c r="B73" s="72" t="s">
        <v>114</v>
      </c>
      <c r="C73" s="73">
        <v>7.0121166666666666</v>
      </c>
      <c r="D73" s="74">
        <v>6.2754583333334093</v>
      </c>
      <c r="E73" s="73">
        <v>409</v>
      </c>
      <c r="F73" s="75">
        <v>5.284606264226643E-3</v>
      </c>
      <c r="G73" s="76">
        <v>1.5520099586666999E-2</v>
      </c>
      <c r="H73" s="72" t="s">
        <v>23</v>
      </c>
      <c r="I73" s="72" t="s">
        <v>115</v>
      </c>
    </row>
    <row r="74" spans="1:9" ht="12.75" customHeight="1" x14ac:dyDescent="0.2">
      <c r="A74" s="71">
        <v>43</v>
      </c>
      <c r="B74" s="72" t="s">
        <v>116</v>
      </c>
      <c r="C74" s="73">
        <v>7.0807833333333337</v>
      </c>
      <c r="D74" s="74">
        <v>3.8757749999999871</v>
      </c>
      <c r="E74" s="73">
        <v>301.02961165048487</v>
      </c>
      <c r="F74" s="75">
        <v>3.2638165622005354E-3</v>
      </c>
      <c r="G74" s="76">
        <v>1.1423006238022537E-2</v>
      </c>
      <c r="H74" s="72" t="s">
        <v>117</v>
      </c>
      <c r="I74" s="72" t="s">
        <v>118</v>
      </c>
    </row>
    <row r="75" spans="1:9" ht="12.75" customHeight="1" x14ac:dyDescent="0.2">
      <c r="A75" s="71">
        <v>46</v>
      </c>
      <c r="B75" s="72" t="s">
        <v>119</v>
      </c>
      <c r="C75" s="73">
        <v>7.3096666666666668</v>
      </c>
      <c r="D75" s="74">
        <v>43.342066666666526</v>
      </c>
      <c r="E75" s="73">
        <v>1329</v>
      </c>
      <c r="F75" s="75">
        <v>3.6498649954310146E-2</v>
      </c>
      <c r="G75" s="76">
        <v>5.0430837043228462E-2</v>
      </c>
      <c r="H75" s="72" t="s">
        <v>120</v>
      </c>
      <c r="I75" s="72" t="s">
        <v>121</v>
      </c>
    </row>
    <row r="76" spans="1:9" ht="12.75" customHeight="1" x14ac:dyDescent="0.2">
      <c r="A76" s="71">
        <v>47</v>
      </c>
      <c r="B76" s="72" t="s">
        <v>122</v>
      </c>
      <c r="C76" s="73">
        <v>7.5556999999999999</v>
      </c>
      <c r="D76" s="74">
        <v>275.07130173488713</v>
      </c>
      <c r="E76" s="73">
        <v>5427.8660508968269</v>
      </c>
      <c r="F76" s="75">
        <v>0.23163941931314083</v>
      </c>
      <c r="G76" s="76">
        <v>0.20596826810026328</v>
      </c>
      <c r="H76" s="72" t="s">
        <v>123</v>
      </c>
      <c r="I76" s="72" t="s">
        <v>124</v>
      </c>
    </row>
    <row r="77" spans="1:9" ht="12.75" customHeight="1" x14ac:dyDescent="0.2">
      <c r="A77" s="71">
        <v>48</v>
      </c>
      <c r="B77" s="72" t="s">
        <v>125</v>
      </c>
      <c r="C77" s="73">
        <v>7.6472500000000005</v>
      </c>
      <c r="D77" s="74">
        <v>585.92678828216799</v>
      </c>
      <c r="E77" s="73">
        <v>4649.395063621032</v>
      </c>
      <c r="F77" s="75">
        <v>0.49341294472262004</v>
      </c>
      <c r="G77" s="76">
        <v>0.17642805478033341</v>
      </c>
      <c r="H77" s="72" t="s">
        <v>126</v>
      </c>
      <c r="I77" s="72" t="s">
        <v>127</v>
      </c>
    </row>
    <row r="78" spans="1:9" ht="12.75" customHeight="1" x14ac:dyDescent="0.2">
      <c r="A78" s="71">
        <v>49</v>
      </c>
      <c r="B78" s="72" t="s">
        <v>122</v>
      </c>
      <c r="C78" s="73">
        <v>7.8074666666666666</v>
      </c>
      <c r="D78" s="74">
        <v>141.34382183587564</v>
      </c>
      <c r="E78" s="73">
        <v>2373.8080254484144</v>
      </c>
      <c r="F78" s="75">
        <v>0.11902659640269471</v>
      </c>
      <c r="G78" s="76">
        <v>9.0077596465987134E-2</v>
      </c>
      <c r="H78" s="72" t="s">
        <v>123</v>
      </c>
      <c r="I78" s="72" t="s">
        <v>124</v>
      </c>
    </row>
    <row r="79" spans="1:9" ht="12.75" customHeight="1" x14ac:dyDescent="0.2">
      <c r="A79" s="71">
        <v>51</v>
      </c>
      <c r="B79" s="72" t="s">
        <v>128</v>
      </c>
      <c r="C79" s="73">
        <v>8.0077333333333343</v>
      </c>
      <c r="D79" s="74">
        <v>35.416500000000511</v>
      </c>
      <c r="E79" s="73">
        <v>1085.0000000000052</v>
      </c>
      <c r="F79" s="75">
        <v>2.9824476208029957E-2</v>
      </c>
      <c r="G79" s="76">
        <v>4.1171902326488444E-2</v>
      </c>
      <c r="H79" s="72" t="s">
        <v>23</v>
      </c>
      <c r="I79" s="72" t="s">
        <v>129</v>
      </c>
    </row>
    <row r="80" spans="1:9" ht="12.75" customHeight="1" x14ac:dyDescent="0.2">
      <c r="A80" s="71">
        <v>52</v>
      </c>
      <c r="B80" s="72" t="s">
        <v>130</v>
      </c>
      <c r="C80" s="73">
        <v>8.122183333333334</v>
      </c>
      <c r="D80" s="74">
        <v>77.846188975299071</v>
      </c>
      <c r="E80" s="73">
        <v>2401.8364208318776</v>
      </c>
      <c r="F80" s="75">
        <v>6.5554806685572481E-2</v>
      </c>
      <c r="G80" s="76">
        <v>9.1141174675292341E-2</v>
      </c>
      <c r="H80" s="72" t="s">
        <v>23</v>
      </c>
      <c r="I80" s="72" t="s">
        <v>131</v>
      </c>
    </row>
    <row r="81" spans="1:9" ht="12.75" customHeight="1" x14ac:dyDescent="0.2">
      <c r="A81" s="71">
        <v>53</v>
      </c>
      <c r="B81" s="72" t="s">
        <v>132</v>
      </c>
      <c r="C81" s="73">
        <v>8.173683333333333</v>
      </c>
      <c r="D81" s="74">
        <v>45.486002691367489</v>
      </c>
      <c r="E81" s="73">
        <v>1816.9182104159381</v>
      </c>
      <c r="F81" s="75">
        <v>3.8304073103413848E-2</v>
      </c>
      <c r="G81" s="76">
        <v>6.8945602852039475E-2</v>
      </c>
      <c r="H81" s="72" t="s">
        <v>23</v>
      </c>
      <c r="I81" s="72" t="s">
        <v>133</v>
      </c>
    </row>
    <row r="82" spans="1:9" ht="12.75" customHeight="1" x14ac:dyDescent="0.2">
      <c r="A82" s="71">
        <v>54</v>
      </c>
      <c r="B82" s="72" t="s">
        <v>134</v>
      </c>
      <c r="C82" s="73">
        <v>8.259500000000001</v>
      </c>
      <c r="D82" s="74">
        <v>17.691691666667307</v>
      </c>
      <c r="E82" s="73">
        <v>721.78770226537131</v>
      </c>
      <c r="F82" s="75">
        <v>1.4898294218579288E-2</v>
      </c>
      <c r="G82" s="76">
        <v>2.738928366647949E-2</v>
      </c>
      <c r="H82" s="72" t="s">
        <v>23</v>
      </c>
      <c r="I82" s="72" t="s">
        <v>135</v>
      </c>
    </row>
    <row r="83" spans="1:9" ht="12.75" customHeight="1" x14ac:dyDescent="0.2">
      <c r="A83" s="71">
        <v>55</v>
      </c>
      <c r="B83" s="72" t="s">
        <v>136</v>
      </c>
      <c r="C83" s="73">
        <v>8.3682166666666671</v>
      </c>
      <c r="D83" s="74">
        <v>49.762891666667286</v>
      </c>
      <c r="E83" s="73">
        <v>1605.311650485439</v>
      </c>
      <c r="F83" s="75">
        <v>4.1905670480009857E-2</v>
      </c>
      <c r="G83" s="76">
        <v>6.0915884310931007E-2</v>
      </c>
      <c r="H83" s="72" t="s">
        <v>23</v>
      </c>
      <c r="I83" s="72" t="s">
        <v>129</v>
      </c>
    </row>
    <row r="84" spans="1:9" ht="12.75" customHeight="1" x14ac:dyDescent="0.2">
      <c r="A84" s="71">
        <v>56</v>
      </c>
      <c r="B84" s="72" t="s">
        <v>137</v>
      </c>
      <c r="C84" s="73">
        <v>8.4655000000000005</v>
      </c>
      <c r="D84" s="74">
        <v>60.189612057550001</v>
      </c>
      <c r="E84" s="73">
        <v>2081.6403919145569</v>
      </c>
      <c r="F84" s="75">
        <v>5.0686082836557171E-2</v>
      </c>
      <c r="G84" s="76">
        <v>7.8990870870763924E-2</v>
      </c>
      <c r="H84" s="72" t="s">
        <v>138</v>
      </c>
      <c r="I84" s="72" t="s">
        <v>139</v>
      </c>
    </row>
    <row r="85" spans="1:9" ht="12.75" customHeight="1" x14ac:dyDescent="0.2">
      <c r="A85" s="71">
        <v>57</v>
      </c>
      <c r="B85" s="72" t="s">
        <v>140</v>
      </c>
      <c r="C85" s="73">
        <v>8.5513333333333339</v>
      </c>
      <c r="D85" s="74">
        <v>290.13641294244496</v>
      </c>
      <c r="E85" s="73">
        <v>8800.7413717009458</v>
      </c>
      <c r="F85" s="75">
        <v>0.24432585221252748</v>
      </c>
      <c r="G85" s="76">
        <v>0.33395692548972861</v>
      </c>
      <c r="H85" s="72" t="s">
        <v>141</v>
      </c>
      <c r="I85" s="72" t="s">
        <v>142</v>
      </c>
    </row>
    <row r="86" spans="1:9" ht="12.75" customHeight="1" x14ac:dyDescent="0.2">
      <c r="A86" s="71">
        <v>58</v>
      </c>
      <c r="B86" s="72" t="s">
        <v>143</v>
      </c>
      <c r="C86" s="73">
        <v>8.6657666666666664</v>
      </c>
      <c r="D86" s="74">
        <v>9.5771249999997501</v>
      </c>
      <c r="E86" s="73">
        <v>333</v>
      </c>
      <c r="F86" s="75">
        <v>8.0649622832244094E-3</v>
      </c>
      <c r="G86" s="76">
        <v>1.2636169101124963E-2</v>
      </c>
      <c r="H86" s="72" t="s">
        <v>23</v>
      </c>
      <c r="I86" s="72" t="s">
        <v>144</v>
      </c>
    </row>
    <row r="87" spans="1:9" ht="12.75" customHeight="1" x14ac:dyDescent="0.2">
      <c r="A87" s="71">
        <v>59</v>
      </c>
      <c r="B87" s="72" t="s">
        <v>145</v>
      </c>
      <c r="C87" s="73">
        <v>8.7916500000000006</v>
      </c>
      <c r="D87" s="74">
        <v>106.30285833333262</v>
      </c>
      <c r="E87" s="73">
        <v>1863</v>
      </c>
      <c r="F87" s="75">
        <v>8.9518362040518176E-2</v>
      </c>
      <c r="G87" s="76">
        <v>7.0694243349536959E-2</v>
      </c>
      <c r="H87" s="72" t="s">
        <v>23</v>
      </c>
      <c r="I87" s="72" t="s">
        <v>146</v>
      </c>
    </row>
    <row r="88" spans="1:9" ht="12.75" customHeight="1" x14ac:dyDescent="0.2">
      <c r="A88" s="71">
        <v>61</v>
      </c>
      <c r="B88" s="72" t="s">
        <v>147</v>
      </c>
      <c r="C88" s="73">
        <v>9.0720333333333336</v>
      </c>
      <c r="D88" s="74">
        <v>88.817266666665915</v>
      </c>
      <c r="E88" s="73">
        <v>2933</v>
      </c>
      <c r="F88" s="75">
        <v>7.4793626037643224E-2</v>
      </c>
      <c r="G88" s="76">
        <v>0.11129694886966823</v>
      </c>
      <c r="H88" s="72" t="s">
        <v>148</v>
      </c>
      <c r="I88" s="72" t="s">
        <v>149</v>
      </c>
    </row>
    <row r="89" spans="1:9" ht="12.75" customHeight="1" x14ac:dyDescent="0.2">
      <c r="A89" s="71">
        <v>62</v>
      </c>
      <c r="B89" s="72" t="s">
        <v>150</v>
      </c>
      <c r="C89" s="73">
        <v>9.2665666666666677</v>
      </c>
      <c r="D89" s="74">
        <v>1.6545249999999925</v>
      </c>
      <c r="E89" s="73">
        <v>264.23203883490964</v>
      </c>
      <c r="F89" s="75">
        <v>1.3932867871780054E-3</v>
      </c>
      <c r="G89" s="76">
        <v>1.0026668842801612E-2</v>
      </c>
      <c r="H89" s="72" t="s">
        <v>23</v>
      </c>
      <c r="I89" s="72" t="s">
        <v>151</v>
      </c>
    </row>
    <row r="90" spans="1:9" ht="12.75" customHeight="1" x14ac:dyDescent="0.2">
      <c r="A90" s="71">
        <v>63</v>
      </c>
      <c r="B90" s="72" t="s">
        <v>152</v>
      </c>
      <c r="C90" s="73">
        <v>9.3180666666666667</v>
      </c>
      <c r="D90" s="74">
        <v>112.32034166666449</v>
      </c>
      <c r="E90" s="73">
        <v>3999.0781357093861</v>
      </c>
      <c r="F90" s="75">
        <v>9.4585725797726561E-2</v>
      </c>
      <c r="G90" s="76">
        <v>0.15175083354785396</v>
      </c>
      <c r="H90" s="72" t="s">
        <v>153</v>
      </c>
      <c r="I90" s="72" t="s">
        <v>154</v>
      </c>
    </row>
    <row r="91" spans="1:9" ht="12.75" customHeight="1" x14ac:dyDescent="0.2">
      <c r="A91" s="71">
        <v>64</v>
      </c>
      <c r="B91" s="72" t="s">
        <v>155</v>
      </c>
      <c r="C91" s="73">
        <v>9.5698333333333334</v>
      </c>
      <c r="D91" s="74">
        <v>99.851683333332204</v>
      </c>
      <c r="E91" s="73">
        <v>2231</v>
      </c>
      <c r="F91" s="75">
        <v>8.4085783572816764E-2</v>
      </c>
      <c r="G91" s="76">
        <v>8.465853833216154E-2</v>
      </c>
      <c r="H91" s="72" t="s">
        <v>156</v>
      </c>
      <c r="I91" s="72" t="s">
        <v>157</v>
      </c>
    </row>
    <row r="92" spans="1:9" ht="12.75" customHeight="1" x14ac:dyDescent="0.2">
      <c r="A92" s="71">
        <v>65</v>
      </c>
      <c r="B92" s="72" t="s">
        <v>158</v>
      </c>
      <c r="C92" s="73">
        <v>9.7300500000000003</v>
      </c>
      <c r="D92" s="74">
        <v>7899.9536416665696</v>
      </c>
      <c r="E92" s="73">
        <v>202080.65315533979</v>
      </c>
      <c r="F92" s="75">
        <v>6.6526048432346734</v>
      </c>
      <c r="G92" s="76">
        <v>7.6682441601701381</v>
      </c>
      <c r="H92" s="72" t="s">
        <v>159</v>
      </c>
      <c r="I92" s="72" t="s">
        <v>160</v>
      </c>
    </row>
    <row r="93" spans="1:9" ht="12.75" customHeight="1" x14ac:dyDescent="0.2">
      <c r="A93" s="71">
        <v>66</v>
      </c>
      <c r="B93" s="72" t="s">
        <v>161</v>
      </c>
      <c r="C93" s="73">
        <v>9.8731000000000009</v>
      </c>
      <c r="D93" s="74">
        <v>338.85641666667436</v>
      </c>
      <c r="E93" s="73">
        <v>11422.95849262696</v>
      </c>
      <c r="F93" s="75">
        <v>0.28535329964319933</v>
      </c>
      <c r="G93" s="76">
        <v>0.43346076621010748</v>
      </c>
      <c r="H93" s="72" t="s">
        <v>162</v>
      </c>
      <c r="I93" s="72" t="s">
        <v>163</v>
      </c>
    </row>
    <row r="94" spans="1:9" ht="12.75" customHeight="1" x14ac:dyDescent="0.2">
      <c r="A94" s="71">
        <v>67</v>
      </c>
      <c r="B94" s="72" t="s">
        <v>164</v>
      </c>
      <c r="C94" s="73">
        <v>9.9589333333333343</v>
      </c>
      <c r="D94" s="74">
        <v>5.2198000000000917</v>
      </c>
      <c r="E94" s="73">
        <v>856.33398058253533</v>
      </c>
      <c r="F94" s="75">
        <v>4.395629181615214E-3</v>
      </c>
      <c r="G94" s="76">
        <v>3.2494837794835967E-2</v>
      </c>
      <c r="H94" s="72" t="s">
        <v>23</v>
      </c>
      <c r="I94" s="72" t="s">
        <v>165</v>
      </c>
    </row>
    <row r="95" spans="1:9" ht="12.75" customHeight="1" x14ac:dyDescent="0.2">
      <c r="A95" s="71">
        <v>68</v>
      </c>
      <c r="B95" s="72" t="s">
        <v>166</v>
      </c>
      <c r="C95" s="73">
        <v>10.021866666666666</v>
      </c>
      <c r="D95" s="74">
        <v>100.44602500000127</v>
      </c>
      <c r="E95" s="73">
        <v>3790.8545821196371</v>
      </c>
      <c r="F95" s="75">
        <v>8.4586282744022606E-2</v>
      </c>
      <c r="G95" s="76">
        <v>0.14384948810041484</v>
      </c>
      <c r="H95" s="72" t="s">
        <v>167</v>
      </c>
      <c r="I95" s="72" t="s">
        <v>168</v>
      </c>
    </row>
    <row r="96" spans="1:9" ht="12.75" customHeight="1" x14ac:dyDescent="0.2">
      <c r="A96" s="71">
        <v>70</v>
      </c>
      <c r="B96" s="72" t="s">
        <v>169</v>
      </c>
      <c r="C96" s="73">
        <v>10.216416666666667</v>
      </c>
      <c r="D96" s="74">
        <v>8.7615000000002574</v>
      </c>
      <c r="E96" s="73">
        <v>494.26699029126701</v>
      </c>
      <c r="F96" s="75">
        <v>7.3781189077593325E-3</v>
      </c>
      <c r="G96" s="76">
        <v>1.8755679490764385E-2</v>
      </c>
      <c r="H96" s="72" t="s">
        <v>170</v>
      </c>
      <c r="I96" s="72" t="s">
        <v>171</v>
      </c>
    </row>
    <row r="97" spans="1:9" ht="12.75" customHeight="1" x14ac:dyDescent="0.2">
      <c r="A97" s="71">
        <v>71</v>
      </c>
      <c r="B97" s="72" t="s">
        <v>172</v>
      </c>
      <c r="C97" s="73">
        <v>10.256483333333334</v>
      </c>
      <c r="D97" s="74">
        <v>4.9450249999999372</v>
      </c>
      <c r="E97" s="73">
        <v>699</v>
      </c>
      <c r="F97" s="75">
        <v>4.1642392800138161E-3</v>
      </c>
      <c r="G97" s="76">
        <v>2.6524571176235284E-2</v>
      </c>
      <c r="H97" s="72" t="s">
        <v>173</v>
      </c>
      <c r="I97" s="72" t="s">
        <v>174</v>
      </c>
    </row>
    <row r="98" spans="1:9" ht="12.75" customHeight="1" x14ac:dyDescent="0.2">
      <c r="A98" s="71">
        <v>72</v>
      </c>
      <c r="B98" s="72" t="s">
        <v>175</v>
      </c>
      <c r="C98" s="73">
        <v>10.43385</v>
      </c>
      <c r="D98" s="74">
        <v>56.803716666666908</v>
      </c>
      <c r="E98" s="73">
        <v>1489</v>
      </c>
      <c r="F98" s="75">
        <v>4.7834797234414958E-2</v>
      </c>
      <c r="G98" s="76">
        <v>5.6502269644369586E-2</v>
      </c>
      <c r="H98" s="72" t="s">
        <v>23</v>
      </c>
      <c r="I98" s="72" t="s">
        <v>176</v>
      </c>
    </row>
    <row r="99" spans="1:9" ht="12.75" customHeight="1" x14ac:dyDescent="0.2">
      <c r="A99" s="71">
        <v>73</v>
      </c>
      <c r="B99" s="72" t="s">
        <v>177</v>
      </c>
      <c r="C99" s="73">
        <v>10.531133333333333</v>
      </c>
      <c r="D99" s="74">
        <v>9.120783333333895</v>
      </c>
      <c r="E99" s="73">
        <v>1060.8069919883608</v>
      </c>
      <c r="F99" s="75">
        <v>7.6806738532494458E-3</v>
      </c>
      <c r="G99" s="76">
        <v>4.0253863466728657E-2</v>
      </c>
      <c r="H99" s="72" t="s">
        <v>178</v>
      </c>
      <c r="I99" s="72" t="s">
        <v>179</v>
      </c>
    </row>
    <row r="100" spans="1:9" ht="12.75" customHeight="1" x14ac:dyDescent="0.2">
      <c r="A100" s="71">
        <v>74</v>
      </c>
      <c r="B100" s="72" t="s">
        <v>180</v>
      </c>
      <c r="C100" s="73">
        <v>10.594066666666667</v>
      </c>
      <c r="D100" s="74">
        <v>75.118508333332073</v>
      </c>
      <c r="E100" s="73">
        <v>2254.8518826711029</v>
      </c>
      <c r="F100" s="75">
        <v>6.3257808212842326E-2</v>
      </c>
      <c r="G100" s="76">
        <v>8.5563632694961089E-2</v>
      </c>
      <c r="H100" s="72" t="s">
        <v>181</v>
      </c>
      <c r="I100" s="72" t="s">
        <v>182</v>
      </c>
    </row>
    <row r="101" spans="1:9" ht="12.75" customHeight="1" x14ac:dyDescent="0.2">
      <c r="A101" s="71">
        <v>75</v>
      </c>
      <c r="B101" s="72" t="s">
        <v>183</v>
      </c>
      <c r="C101" s="73">
        <v>10.748566666666667</v>
      </c>
      <c r="D101" s="74">
        <v>1934.6479499999621</v>
      </c>
      <c r="E101" s="73">
        <v>77533.348526387927</v>
      </c>
      <c r="F101" s="75">
        <v>1.6291802339499093</v>
      </c>
      <c r="G101" s="76">
        <v>2.9421156244921796</v>
      </c>
      <c r="H101" s="72" t="s">
        <v>184</v>
      </c>
      <c r="I101" s="72" t="s">
        <v>185</v>
      </c>
    </row>
    <row r="102" spans="1:9" ht="12.75" customHeight="1" x14ac:dyDescent="0.2">
      <c r="A102" s="71">
        <v>77</v>
      </c>
      <c r="B102" s="72" t="s">
        <v>186</v>
      </c>
      <c r="C102" s="73">
        <v>11.051833333333333</v>
      </c>
      <c r="D102" s="74">
        <v>12268.909133333704</v>
      </c>
      <c r="E102" s="73">
        <v>495783.50000000006</v>
      </c>
      <c r="F102" s="75">
        <v>10.33173206120275</v>
      </c>
      <c r="G102" s="76">
        <v>18.813225656299068</v>
      </c>
      <c r="H102" s="72" t="s">
        <v>187</v>
      </c>
      <c r="I102" s="72" t="s">
        <v>185</v>
      </c>
    </row>
    <row r="103" spans="1:9" ht="12.75" customHeight="1" x14ac:dyDescent="0.2">
      <c r="A103" s="71">
        <v>78</v>
      </c>
      <c r="B103" s="72" t="s">
        <v>188</v>
      </c>
      <c r="C103" s="73">
        <v>11.114766666666666</v>
      </c>
      <c r="D103" s="74">
        <v>499.30226666669</v>
      </c>
      <c r="E103" s="73">
        <v>28644.7146185202</v>
      </c>
      <c r="F103" s="75">
        <v>0.42046584424818684</v>
      </c>
      <c r="G103" s="76">
        <v>1.0869653386579206</v>
      </c>
      <c r="H103" s="72" t="s">
        <v>189</v>
      </c>
      <c r="I103" s="72" t="s">
        <v>190</v>
      </c>
    </row>
    <row r="104" spans="1:9" ht="12.75" customHeight="1" x14ac:dyDescent="0.2">
      <c r="A104" s="71">
        <v>79</v>
      </c>
      <c r="B104" s="72" t="s">
        <v>191</v>
      </c>
      <c r="C104" s="73">
        <v>11.337933333333334</v>
      </c>
      <c r="D104" s="74">
        <v>317.67099166666418</v>
      </c>
      <c r="E104" s="73">
        <v>9520.3683304647166</v>
      </c>
      <c r="F104" s="75">
        <v>0.26751290875562445</v>
      </c>
      <c r="G104" s="76">
        <v>0.36126421660284358</v>
      </c>
      <c r="H104" s="72" t="s">
        <v>192</v>
      </c>
      <c r="I104" s="72" t="s">
        <v>193</v>
      </c>
    </row>
    <row r="105" spans="1:9" ht="12.75" customHeight="1" x14ac:dyDescent="0.2">
      <c r="A105" s="71">
        <v>80</v>
      </c>
      <c r="B105" s="72" t="s">
        <v>194</v>
      </c>
      <c r="C105" s="73">
        <v>11.578250000000001</v>
      </c>
      <c r="D105" s="74">
        <v>69.862416666665666</v>
      </c>
      <c r="E105" s="73">
        <v>1477.5</v>
      </c>
      <c r="F105" s="75">
        <v>5.8831617571200305E-2</v>
      </c>
      <c r="G105" s="76">
        <v>5.6065885426162566E-2</v>
      </c>
      <c r="H105" s="72" t="s">
        <v>23</v>
      </c>
      <c r="I105" s="72" t="s">
        <v>195</v>
      </c>
    </row>
    <row r="106" spans="1:9" ht="12.75" customHeight="1" x14ac:dyDescent="0.2">
      <c r="A106" s="71">
        <v>81</v>
      </c>
      <c r="B106" s="72" t="s">
        <v>196</v>
      </c>
      <c r="C106" s="73">
        <v>11.698416666666667</v>
      </c>
      <c r="D106" s="74">
        <v>450.61193333332778</v>
      </c>
      <c r="E106" s="73">
        <v>16244.558884727425</v>
      </c>
      <c r="F106" s="75">
        <v>0.37946338245603095</v>
      </c>
      <c r="G106" s="76">
        <v>0.61642340252431738</v>
      </c>
      <c r="H106" s="72" t="s">
        <v>197</v>
      </c>
      <c r="I106" s="72" t="s">
        <v>198</v>
      </c>
    </row>
    <row r="107" spans="1:9" ht="12.75" customHeight="1" x14ac:dyDescent="0.2">
      <c r="A107" s="71">
        <v>82</v>
      </c>
      <c r="B107" s="72" t="s">
        <v>199</v>
      </c>
      <c r="C107" s="73">
        <v>12.030283333333333</v>
      </c>
      <c r="D107" s="74">
        <v>57511.925899999849</v>
      </c>
      <c r="E107" s="73">
        <v>643730.25555625919</v>
      </c>
      <c r="F107" s="75">
        <v>48.43118506014153</v>
      </c>
      <c r="G107" s="76">
        <v>24.427280374532369</v>
      </c>
      <c r="H107" s="72" t="s">
        <v>200</v>
      </c>
      <c r="I107" s="72" t="s">
        <v>201</v>
      </c>
    </row>
    <row r="108" spans="1:9" ht="12.75" customHeight="1" x14ac:dyDescent="0.2">
      <c r="A108" s="71">
        <v>83</v>
      </c>
      <c r="B108" s="72" t="s">
        <v>199</v>
      </c>
      <c r="C108" s="73">
        <v>12.17905</v>
      </c>
      <c r="D108" s="74">
        <v>606.08095833333005</v>
      </c>
      <c r="E108" s="73">
        <v>12100.141886269066</v>
      </c>
      <c r="F108" s="75">
        <v>0.5103849087841017</v>
      </c>
      <c r="G108" s="76">
        <v>0.45915747454204536</v>
      </c>
      <c r="H108" s="72" t="s">
        <v>200</v>
      </c>
      <c r="I108" s="72" t="s">
        <v>201</v>
      </c>
    </row>
    <row r="109" spans="1:9" ht="12.75" customHeight="1" x14ac:dyDescent="0.2">
      <c r="A109" s="71">
        <v>84</v>
      </c>
      <c r="B109" s="72" t="s">
        <v>202</v>
      </c>
      <c r="C109" s="73">
        <v>12.350716666666667</v>
      </c>
      <c r="D109" s="74">
        <v>52.823708333332945</v>
      </c>
      <c r="E109" s="73">
        <v>1659.5366345507509</v>
      </c>
      <c r="F109" s="75">
        <v>4.4483205071291047E-2</v>
      </c>
      <c r="G109" s="76">
        <v>6.2973530161246571E-2</v>
      </c>
      <c r="H109" s="72" t="s">
        <v>23</v>
      </c>
      <c r="I109" s="72" t="s">
        <v>203</v>
      </c>
    </row>
    <row r="110" spans="1:9" ht="12.75" customHeight="1" x14ac:dyDescent="0.2">
      <c r="A110" s="71">
        <v>85</v>
      </c>
      <c r="B110" s="72" t="s">
        <v>204</v>
      </c>
      <c r="C110" s="73">
        <v>12.447983333333333</v>
      </c>
      <c r="D110" s="74">
        <v>142.5365499999975</v>
      </c>
      <c r="E110" s="73">
        <v>5899.1672908863857</v>
      </c>
      <c r="F110" s="75">
        <v>0.12003100092469714</v>
      </c>
      <c r="G110" s="76">
        <v>0.22385247880920603</v>
      </c>
      <c r="H110" s="72" t="s">
        <v>205</v>
      </c>
      <c r="I110" s="72" t="s">
        <v>206</v>
      </c>
    </row>
    <row r="111" spans="1:9" ht="12.75" customHeight="1" x14ac:dyDescent="0.2">
      <c r="A111" s="71">
        <v>86</v>
      </c>
      <c r="B111" s="72" t="s">
        <v>207</v>
      </c>
      <c r="C111" s="73">
        <v>12.533816666666667</v>
      </c>
      <c r="D111" s="74">
        <v>84.827799999998433</v>
      </c>
      <c r="E111" s="73">
        <v>3991.9800249687946</v>
      </c>
      <c r="F111" s="75">
        <v>7.1434068947508644E-2</v>
      </c>
      <c r="G111" s="76">
        <v>0.15148148541687312</v>
      </c>
      <c r="H111" s="72" t="s">
        <v>208</v>
      </c>
      <c r="I111" s="72" t="s">
        <v>190</v>
      </c>
    </row>
    <row r="112" spans="1:9" ht="12.75" customHeight="1" x14ac:dyDescent="0.2">
      <c r="A112" s="71">
        <v>87</v>
      </c>
      <c r="B112" s="72" t="s">
        <v>209</v>
      </c>
      <c r="C112" s="73">
        <v>12.585316666666667</v>
      </c>
      <c r="D112" s="74">
        <v>4.3764000000000749</v>
      </c>
      <c r="E112" s="73">
        <v>647.79320388351061</v>
      </c>
      <c r="F112" s="75">
        <v>3.6853962892104712E-3</v>
      </c>
      <c r="G112" s="76">
        <v>2.4581454855350033E-2</v>
      </c>
      <c r="H112" s="72" t="s">
        <v>23</v>
      </c>
      <c r="I112" s="72" t="s">
        <v>210</v>
      </c>
    </row>
    <row r="113" spans="1:9" ht="12.75" customHeight="1" x14ac:dyDescent="0.2">
      <c r="A113" s="71">
        <v>88</v>
      </c>
      <c r="B113" s="72" t="s">
        <v>211</v>
      </c>
      <c r="C113" s="73">
        <v>12.7112</v>
      </c>
      <c r="D113" s="74">
        <v>150.8259666666668</v>
      </c>
      <c r="E113" s="73">
        <v>4955.6666666666679</v>
      </c>
      <c r="F113" s="75">
        <v>0.12701157523761689</v>
      </c>
      <c r="G113" s="76">
        <v>0.18804997600242732</v>
      </c>
      <c r="H113" s="72" t="s">
        <v>212</v>
      </c>
      <c r="I113" s="72" t="s">
        <v>213</v>
      </c>
    </row>
    <row r="114" spans="1:9" ht="12.75" customHeight="1" x14ac:dyDescent="0.2">
      <c r="A114" s="71">
        <v>89</v>
      </c>
      <c r="B114" s="72" t="s">
        <v>214</v>
      </c>
      <c r="C114" s="73">
        <v>12.791316666666667</v>
      </c>
      <c r="D114" s="74">
        <v>229.58669166666647</v>
      </c>
      <c r="E114" s="73">
        <v>8408.1507373020213</v>
      </c>
      <c r="F114" s="75">
        <v>0.19333651894717732</v>
      </c>
      <c r="G114" s="76">
        <v>0.31905950313602671</v>
      </c>
      <c r="H114" s="72" t="s">
        <v>215</v>
      </c>
      <c r="I114" s="72" t="s">
        <v>216</v>
      </c>
    </row>
    <row r="115" spans="1:9" ht="12.75" customHeight="1" x14ac:dyDescent="0.2">
      <c r="A115" s="71">
        <v>90</v>
      </c>
      <c r="B115" s="72" t="s">
        <v>217</v>
      </c>
      <c r="C115" s="73">
        <v>12.9458</v>
      </c>
      <c r="D115" s="74">
        <v>406.58220833332945</v>
      </c>
      <c r="E115" s="73">
        <v>12038.857142857143</v>
      </c>
      <c r="F115" s="75">
        <v>0.34238565072905253</v>
      </c>
      <c r="G115" s="76">
        <v>0.45683193586014714</v>
      </c>
      <c r="H115" s="72" t="s">
        <v>218</v>
      </c>
      <c r="I115" s="72" t="s">
        <v>213</v>
      </c>
    </row>
    <row r="116" spans="1:9" ht="12.75" customHeight="1" x14ac:dyDescent="0.2">
      <c r="A116" s="71">
        <v>91</v>
      </c>
      <c r="B116" s="72" t="s">
        <v>219</v>
      </c>
      <c r="C116" s="73">
        <v>13.031633333333334</v>
      </c>
      <c r="D116" s="74">
        <v>171.23869999999766</v>
      </c>
      <c r="E116" s="73">
        <v>6526.1429531705162</v>
      </c>
      <c r="F116" s="75">
        <v>0.14420127720254219</v>
      </c>
      <c r="G116" s="76">
        <v>0.247643981784918</v>
      </c>
      <c r="H116" s="72" t="s">
        <v>220</v>
      </c>
      <c r="I116" s="72" t="s">
        <v>221</v>
      </c>
    </row>
    <row r="117" spans="1:9" ht="12.75" customHeight="1" x14ac:dyDescent="0.2">
      <c r="A117" s="71">
        <v>92</v>
      </c>
      <c r="B117" s="72" t="s">
        <v>222</v>
      </c>
      <c r="C117" s="73">
        <v>13.088850000000001</v>
      </c>
      <c r="D117" s="74">
        <v>1.9923000000000002</v>
      </c>
      <c r="E117" s="73">
        <v>0</v>
      </c>
      <c r="F117" s="75">
        <v>1.6777294184704087E-3</v>
      </c>
      <c r="G117" s="76">
        <v>0</v>
      </c>
      <c r="H117" s="72" t="s">
        <v>223</v>
      </c>
      <c r="I117" s="72" t="s">
        <v>224</v>
      </c>
    </row>
    <row r="118" spans="1:9" ht="12.75" customHeight="1" x14ac:dyDescent="0.2">
      <c r="A118" s="71">
        <v>94</v>
      </c>
      <c r="B118" s="72" t="s">
        <v>225</v>
      </c>
      <c r="C118" s="73">
        <v>13.306283333333333</v>
      </c>
      <c r="D118" s="74">
        <v>111.80293740239554</v>
      </c>
      <c r="E118" s="73">
        <v>2876.6048064085476</v>
      </c>
      <c r="F118" s="75">
        <v>9.4150016137832943E-2</v>
      </c>
      <c r="G118" s="76">
        <v>0.10915695126392566</v>
      </c>
      <c r="H118" s="72" t="s">
        <v>23</v>
      </c>
      <c r="I118" s="72" t="s">
        <v>226</v>
      </c>
    </row>
    <row r="119" spans="1:9" ht="12.75" customHeight="1" x14ac:dyDescent="0.2">
      <c r="A119" s="71">
        <v>95</v>
      </c>
      <c r="B119" s="72" t="s">
        <v>227</v>
      </c>
      <c r="C119" s="73">
        <v>13.357783333333334</v>
      </c>
      <c r="D119" s="74">
        <v>72.381837597604232</v>
      </c>
      <c r="E119" s="73">
        <v>2070.8372375288272</v>
      </c>
      <c r="F119" s="75">
        <v>6.0953239120839289E-2</v>
      </c>
      <c r="G119" s="76">
        <v>7.8580929472434669E-2</v>
      </c>
      <c r="H119" s="72" t="s">
        <v>228</v>
      </c>
      <c r="I119" s="72" t="s">
        <v>229</v>
      </c>
    </row>
    <row r="120" spans="1:9" ht="12.75" customHeight="1" x14ac:dyDescent="0.2">
      <c r="A120" s="71">
        <v>96</v>
      </c>
      <c r="B120" s="72" t="s">
        <v>230</v>
      </c>
      <c r="C120" s="73">
        <v>13.489383333333334</v>
      </c>
      <c r="D120" s="74">
        <v>102.68211666666888</v>
      </c>
      <c r="E120" s="73">
        <v>3444.7466019417479</v>
      </c>
      <c r="F120" s="75">
        <v>8.6469310787773437E-2</v>
      </c>
      <c r="G120" s="76">
        <v>0.13071591763562021</v>
      </c>
      <c r="H120" s="72" t="s">
        <v>231</v>
      </c>
      <c r="I120" s="72" t="s">
        <v>232</v>
      </c>
    </row>
    <row r="121" spans="1:9" ht="12.75" customHeight="1" x14ac:dyDescent="0.2">
      <c r="A121" s="71">
        <v>97</v>
      </c>
      <c r="B121" s="72" t="s">
        <v>233</v>
      </c>
      <c r="C121" s="73">
        <v>13.598100000000001</v>
      </c>
      <c r="D121" s="74">
        <v>658.61853333332419</v>
      </c>
      <c r="E121" s="73">
        <v>17741.724770642199</v>
      </c>
      <c r="F121" s="75">
        <v>0.55462715902381743</v>
      </c>
      <c r="G121" s="76">
        <v>0.67323553858093788</v>
      </c>
      <c r="H121" s="72" t="s">
        <v>23</v>
      </c>
      <c r="I121" s="72" t="s">
        <v>234</v>
      </c>
    </row>
    <row r="122" spans="1:9" ht="12.75" customHeight="1" x14ac:dyDescent="0.2">
      <c r="A122" s="71">
        <v>98</v>
      </c>
      <c r="B122" s="72" t="s">
        <v>235</v>
      </c>
      <c r="C122" s="73">
        <v>13.8041</v>
      </c>
      <c r="D122" s="74">
        <v>1562.3756916666432</v>
      </c>
      <c r="E122" s="73">
        <v>55514.876055927773</v>
      </c>
      <c r="F122" s="75">
        <v>1.3156872261266777</v>
      </c>
      <c r="G122" s="76">
        <v>2.106592677089179</v>
      </c>
      <c r="H122" s="72" t="s">
        <v>236</v>
      </c>
      <c r="I122" s="72" t="s">
        <v>237</v>
      </c>
    </row>
    <row r="123" spans="1:9" ht="12.75" customHeight="1" x14ac:dyDescent="0.2">
      <c r="A123" s="71">
        <v>99</v>
      </c>
      <c r="B123" s="72" t="s">
        <v>238</v>
      </c>
      <c r="C123" s="73">
        <v>13.952866666666667</v>
      </c>
      <c r="D123" s="74">
        <v>63.933983333332932</v>
      </c>
      <c r="E123" s="73">
        <v>1637.4264614104429</v>
      </c>
      <c r="F123" s="75">
        <v>5.3839243426356202E-2</v>
      </c>
      <c r="G123" s="76">
        <v>6.2134527498615699E-2</v>
      </c>
      <c r="H123" s="72" t="s">
        <v>23</v>
      </c>
      <c r="I123" s="72" t="s">
        <v>239</v>
      </c>
    </row>
    <row r="124" spans="1:9" ht="12.75" customHeight="1" x14ac:dyDescent="0.2">
      <c r="A124" s="71">
        <v>101</v>
      </c>
      <c r="B124" s="72" t="s">
        <v>240</v>
      </c>
      <c r="C124" s="73">
        <v>14.170300000000001</v>
      </c>
      <c r="D124" s="74">
        <v>425.71838333333778</v>
      </c>
      <c r="E124" s="73">
        <v>9886.6658511010137</v>
      </c>
      <c r="F124" s="75">
        <v>0.35850035421472831</v>
      </c>
      <c r="G124" s="76">
        <v>0.37516390853102094</v>
      </c>
      <c r="H124" s="72" t="s">
        <v>241</v>
      </c>
      <c r="I124" s="72" t="s">
        <v>213</v>
      </c>
    </row>
    <row r="125" spans="1:9" ht="12.75" customHeight="1" x14ac:dyDescent="0.2">
      <c r="A125" s="71">
        <v>104</v>
      </c>
      <c r="B125" s="72" t="s">
        <v>242</v>
      </c>
      <c r="C125" s="73">
        <v>14.502183333333333</v>
      </c>
      <c r="D125" s="74">
        <v>1205.5135333333631</v>
      </c>
      <c r="E125" s="73">
        <v>43612.779201864265</v>
      </c>
      <c r="F125" s="75">
        <v>1.0151711686179745</v>
      </c>
      <c r="G125" s="76">
        <v>1.6549503092035516</v>
      </c>
      <c r="H125" s="72" t="s">
        <v>243</v>
      </c>
      <c r="I125" s="72" t="s">
        <v>244</v>
      </c>
    </row>
    <row r="126" spans="1:9" ht="12.75" customHeight="1" x14ac:dyDescent="0.2">
      <c r="A126" s="71">
        <v>107</v>
      </c>
      <c r="B126" s="72" t="s">
        <v>245</v>
      </c>
      <c r="C126" s="73">
        <v>14.788283333333334</v>
      </c>
      <c r="D126" s="74">
        <v>184.87362499999713</v>
      </c>
      <c r="E126" s="73">
        <v>7118.1510194936127</v>
      </c>
      <c r="F126" s="75">
        <v>0.15568334054196736</v>
      </c>
      <c r="G126" s="76">
        <v>0.27010858849749653</v>
      </c>
      <c r="H126" s="72" t="s">
        <v>23</v>
      </c>
      <c r="I126" s="72" t="s">
        <v>246</v>
      </c>
    </row>
    <row r="127" spans="1:9" ht="12.75" customHeight="1" x14ac:dyDescent="0.2">
      <c r="A127" s="71">
        <v>109</v>
      </c>
      <c r="B127" s="72" t="s">
        <v>247</v>
      </c>
      <c r="C127" s="73">
        <v>15.011433333333335</v>
      </c>
      <c r="D127" s="74">
        <v>0.98574166666703888</v>
      </c>
      <c r="E127" s="73">
        <v>492.51165048541543</v>
      </c>
      <c r="F127" s="75">
        <v>8.3009978074554162E-4</v>
      </c>
      <c r="G127" s="76">
        <v>1.8689070569993589E-2</v>
      </c>
      <c r="H127" s="72" t="s">
        <v>23</v>
      </c>
      <c r="I127" s="72" t="s">
        <v>248</v>
      </c>
    </row>
    <row r="128" spans="1:9" ht="12.75" customHeight="1" x14ac:dyDescent="0.2">
      <c r="A128" s="71">
        <v>111</v>
      </c>
      <c r="B128" s="72" t="s">
        <v>249</v>
      </c>
      <c r="C128" s="73">
        <v>15.205983333333334</v>
      </c>
      <c r="D128" s="74">
        <v>0.81748333333329271</v>
      </c>
      <c r="E128" s="73">
        <v>81.666666666666515</v>
      </c>
      <c r="F128" s="75">
        <v>6.8840829064022299E-4</v>
      </c>
      <c r="G128" s="76">
        <v>3.0989603901657764E-3</v>
      </c>
      <c r="H128" s="72" t="s">
        <v>23</v>
      </c>
      <c r="I128" s="72" t="s">
        <v>250</v>
      </c>
    </row>
    <row r="129" spans="1:9" ht="12.75" customHeight="1" x14ac:dyDescent="0.2">
      <c r="A129" s="71">
        <v>112</v>
      </c>
      <c r="B129" s="72" t="s">
        <v>251</v>
      </c>
      <c r="C129" s="73">
        <v>15.30325</v>
      </c>
      <c r="D129" s="74">
        <v>5.3331083333334206</v>
      </c>
      <c r="E129" s="73">
        <v>848.11262135923789</v>
      </c>
      <c r="F129" s="75">
        <v>4.4910469019340312E-3</v>
      </c>
      <c r="G129" s="76">
        <v>3.218286636724834E-2</v>
      </c>
      <c r="H129" s="72" t="s">
        <v>23</v>
      </c>
      <c r="I129" s="72" t="s">
        <v>252</v>
      </c>
    </row>
    <row r="130" spans="1:9" ht="12.75" customHeight="1" x14ac:dyDescent="0.2">
      <c r="A130" s="71">
        <v>113</v>
      </c>
      <c r="B130" s="72" t="s">
        <v>253</v>
      </c>
      <c r="C130" s="73">
        <v>15.349033333333333</v>
      </c>
      <c r="D130" s="74">
        <v>28.040850000000503</v>
      </c>
      <c r="E130" s="73">
        <v>1071.2120427322798</v>
      </c>
      <c r="F130" s="75">
        <v>2.3613391037452594E-2</v>
      </c>
      <c r="G130" s="76">
        <v>4.0648698243623389E-2</v>
      </c>
      <c r="H130" s="72" t="s">
        <v>23</v>
      </c>
      <c r="I130" s="72" t="s">
        <v>254</v>
      </c>
    </row>
    <row r="131" spans="1:9" ht="12.75" customHeight="1" x14ac:dyDescent="0.2">
      <c r="A131" s="71">
        <v>114</v>
      </c>
      <c r="B131" s="72" t="s">
        <v>255</v>
      </c>
      <c r="C131" s="73">
        <v>15.3948</v>
      </c>
      <c r="D131" s="74">
        <v>15.012691666666484</v>
      </c>
      <c r="E131" s="73">
        <v>998.02679091438631</v>
      </c>
      <c r="F131" s="75">
        <v>1.2642290046474882E-2</v>
      </c>
      <c r="G131" s="76">
        <v>3.7871577469811631E-2</v>
      </c>
      <c r="H131" s="72" t="s">
        <v>23</v>
      </c>
      <c r="I131" s="72" t="s">
        <v>256</v>
      </c>
    </row>
    <row r="132" spans="1:9" ht="12.75" customHeight="1" x14ac:dyDescent="0.2">
      <c r="A132" s="71">
        <v>115</v>
      </c>
      <c r="B132" s="72" t="s">
        <v>253</v>
      </c>
      <c r="C132" s="73">
        <v>15.480633333333333</v>
      </c>
      <c r="D132" s="74">
        <v>85.313461551957801</v>
      </c>
      <c r="E132" s="73">
        <v>3263.3009320905467</v>
      </c>
      <c r="F132" s="75">
        <v>7.1843047852865397E-2</v>
      </c>
      <c r="G132" s="76">
        <v>0.12383069791517977</v>
      </c>
      <c r="H132" s="72" t="s">
        <v>23</v>
      </c>
      <c r="I132" s="72" t="s">
        <v>254</v>
      </c>
    </row>
    <row r="133" spans="1:9" ht="12.75" customHeight="1" x14ac:dyDescent="0.2">
      <c r="A133" s="71">
        <v>116</v>
      </c>
      <c r="B133" s="72" t="s">
        <v>257</v>
      </c>
      <c r="C133" s="73">
        <v>15.560750000000001</v>
      </c>
      <c r="D133" s="74">
        <v>378.06003844804326</v>
      </c>
      <c r="E133" s="73">
        <v>6706.8434587217052</v>
      </c>
      <c r="F133" s="75">
        <v>0.31836693693336143</v>
      </c>
      <c r="G133" s="76">
        <v>0.25450092516270661</v>
      </c>
      <c r="H133" s="72" t="s">
        <v>258</v>
      </c>
      <c r="I133" s="72" t="s">
        <v>106</v>
      </c>
    </row>
    <row r="134" spans="1:9" ht="12.75" customHeight="1" x14ac:dyDescent="0.2">
      <c r="A134" s="71">
        <v>118</v>
      </c>
      <c r="B134" s="72" t="s">
        <v>259</v>
      </c>
      <c r="C134" s="73">
        <v>15.772450000000001</v>
      </c>
      <c r="D134" s="74">
        <v>9570.4684083335997</v>
      </c>
      <c r="E134" s="73">
        <v>380298.42857142852</v>
      </c>
      <c r="F134" s="75">
        <v>8.0593567219811018</v>
      </c>
      <c r="G134" s="76">
        <v>14.430976733695688</v>
      </c>
      <c r="H134" s="72" t="s">
        <v>260</v>
      </c>
      <c r="I134" s="72" t="s">
        <v>261</v>
      </c>
    </row>
    <row r="135" spans="1:9" ht="12.75" customHeight="1" x14ac:dyDescent="0.2">
      <c r="A135" s="71">
        <v>121</v>
      </c>
      <c r="B135" s="72" t="s">
        <v>262</v>
      </c>
      <c r="C135" s="73">
        <v>16.184433333333335</v>
      </c>
      <c r="D135" s="74">
        <v>110.14237098315905</v>
      </c>
      <c r="E135" s="73">
        <v>4207.7712557410059</v>
      </c>
      <c r="F135" s="75">
        <v>9.2751641830310413E-2</v>
      </c>
      <c r="G135" s="76">
        <v>0.15966999737656543</v>
      </c>
      <c r="H135" s="72" t="s">
        <v>263</v>
      </c>
      <c r="I135" s="72" t="s">
        <v>264</v>
      </c>
    </row>
    <row r="136" spans="1:9" ht="12.75" customHeight="1" x14ac:dyDescent="0.2">
      <c r="A136" s="71">
        <v>122</v>
      </c>
      <c r="B136" s="72" t="s">
        <v>265</v>
      </c>
      <c r="C136" s="73">
        <v>16.281716666666668</v>
      </c>
      <c r="D136" s="74">
        <v>565.34494568350397</v>
      </c>
      <c r="E136" s="73">
        <v>15499.457488517975</v>
      </c>
      <c r="F136" s="75">
        <v>0.47608083469194895</v>
      </c>
      <c r="G136" s="76">
        <v>0.58814944684868098</v>
      </c>
      <c r="H136" s="72" t="s">
        <v>266</v>
      </c>
      <c r="I136" s="72" t="s">
        <v>267</v>
      </c>
    </row>
    <row r="137" spans="1:9" ht="12.75" customHeight="1" x14ac:dyDescent="0.2">
      <c r="A137" s="71">
        <v>123</v>
      </c>
      <c r="B137" s="72" t="s">
        <v>253</v>
      </c>
      <c r="C137" s="73">
        <v>16.361816666666666</v>
      </c>
      <c r="D137" s="74">
        <v>51.28629166666542</v>
      </c>
      <c r="E137" s="73">
        <v>1597.1236245954524</v>
      </c>
      <c r="F137" s="75">
        <v>4.3188536010349013E-2</v>
      </c>
      <c r="G137" s="76">
        <v>6.0605177765134417E-2</v>
      </c>
      <c r="H137" s="72" t="s">
        <v>23</v>
      </c>
      <c r="I137" s="72" t="s">
        <v>254</v>
      </c>
    </row>
    <row r="138" spans="1:9" ht="12.75" customHeight="1" x14ac:dyDescent="0.2">
      <c r="A138" s="71">
        <v>125</v>
      </c>
      <c r="B138" s="72" t="s">
        <v>268</v>
      </c>
      <c r="C138" s="73">
        <v>16.659366666666667</v>
      </c>
      <c r="D138" s="74">
        <v>1687.6266813601683</v>
      </c>
      <c r="E138" s="73">
        <v>30898.818605484841</v>
      </c>
      <c r="F138" s="75">
        <v>1.421161938821232</v>
      </c>
      <c r="G138" s="76">
        <v>1.1725005913630411</v>
      </c>
      <c r="H138" s="72" t="s">
        <v>269</v>
      </c>
      <c r="I138" s="72" t="s">
        <v>270</v>
      </c>
    </row>
    <row r="139" spans="1:9" ht="12.75" customHeight="1" x14ac:dyDescent="0.2">
      <c r="A139" s="71">
        <v>126</v>
      </c>
      <c r="B139" s="72" t="s">
        <v>255</v>
      </c>
      <c r="C139" s="73">
        <v>16.745183333333333</v>
      </c>
      <c r="D139" s="74">
        <v>53.499758333335819</v>
      </c>
      <c r="E139" s="73">
        <v>2508.4681884409893</v>
      </c>
      <c r="F139" s="75">
        <v>4.505251138728851E-2</v>
      </c>
      <c r="G139" s="76">
        <v>9.5187472113912736E-2</v>
      </c>
      <c r="H139" s="72" t="s">
        <v>23</v>
      </c>
      <c r="I139" s="72" t="s">
        <v>256</v>
      </c>
    </row>
    <row r="140" spans="1:9" ht="12.75" customHeight="1" x14ac:dyDescent="0.2">
      <c r="A140" s="71">
        <v>127</v>
      </c>
      <c r="B140" s="72" t="s">
        <v>271</v>
      </c>
      <c r="C140" s="73">
        <v>16.842466666666667</v>
      </c>
      <c r="D140" s="74">
        <v>492.02582524032152</v>
      </c>
      <c r="E140" s="73">
        <v>15955.711622487614</v>
      </c>
      <c r="F140" s="75">
        <v>0.41433830329411608</v>
      </c>
      <c r="G140" s="76">
        <v>0.60546267324486025</v>
      </c>
      <c r="H140" s="72" t="s">
        <v>272</v>
      </c>
      <c r="I140" s="72" t="s">
        <v>273</v>
      </c>
    </row>
    <row r="141" spans="1:9" ht="12.75" customHeight="1" x14ac:dyDescent="0.2">
      <c r="A141" s="71">
        <v>128</v>
      </c>
      <c r="B141" s="72" t="s">
        <v>274</v>
      </c>
      <c r="C141" s="73">
        <v>16.934016666666668</v>
      </c>
      <c r="D141" s="74">
        <v>272.52213309301544</v>
      </c>
      <c r="E141" s="73">
        <v>8330.288377512361</v>
      </c>
      <c r="F141" s="75">
        <v>0.22949274701323097</v>
      </c>
      <c r="G141" s="76">
        <v>0.31610490270084712</v>
      </c>
      <c r="H141" s="72" t="s">
        <v>275</v>
      </c>
      <c r="I141" s="72" t="s">
        <v>276</v>
      </c>
    </row>
    <row r="142" spans="1:9" ht="12.75" customHeight="1" x14ac:dyDescent="0.2">
      <c r="A142" s="71">
        <v>129</v>
      </c>
      <c r="B142" s="72" t="s">
        <v>253</v>
      </c>
      <c r="C142" s="73">
        <v>17.008400000000002</v>
      </c>
      <c r="D142" s="74">
        <v>285.69943333333106</v>
      </c>
      <c r="E142" s="73">
        <v>8148.47638859992</v>
      </c>
      <c r="F142" s="75">
        <v>0.2405894414212994</v>
      </c>
      <c r="G142" s="76">
        <v>0.30920578247108904</v>
      </c>
      <c r="H142" s="72" t="s">
        <v>23</v>
      </c>
      <c r="I142" s="72" t="s">
        <v>254</v>
      </c>
    </row>
    <row r="143" spans="1:9" ht="12.75" customHeight="1" x14ac:dyDescent="0.2">
      <c r="A143" s="71">
        <v>130</v>
      </c>
      <c r="B143" s="72" t="s">
        <v>277</v>
      </c>
      <c r="C143" s="73">
        <v>17.122833333333332</v>
      </c>
      <c r="D143" s="74">
        <v>444.65342203774594</v>
      </c>
      <c r="E143" s="73">
        <v>9290.7357567284453</v>
      </c>
      <c r="F143" s="75">
        <v>0.37444567945403034</v>
      </c>
      <c r="G143" s="76">
        <v>0.35255047476242896</v>
      </c>
      <c r="H143" s="72" t="s">
        <v>23</v>
      </c>
      <c r="I143" s="72" t="s">
        <v>278</v>
      </c>
    </row>
    <row r="144" spans="1:9" ht="12.75" customHeight="1" x14ac:dyDescent="0.2">
      <c r="A144" s="71">
        <v>131</v>
      </c>
      <c r="B144" s="72" t="s">
        <v>255</v>
      </c>
      <c r="C144" s="73">
        <v>17.174333333333333</v>
      </c>
      <c r="D144" s="74">
        <v>190.99240296225196</v>
      </c>
      <c r="E144" s="73">
        <v>6673.7735057672162</v>
      </c>
      <c r="F144" s="75">
        <v>0.16083600519707117</v>
      </c>
      <c r="G144" s="76">
        <v>0.25324603772216853</v>
      </c>
      <c r="H144" s="72" t="s">
        <v>23</v>
      </c>
      <c r="I144" s="72" t="s">
        <v>256</v>
      </c>
    </row>
    <row r="145" spans="1:9" ht="12.75" customHeight="1" x14ac:dyDescent="0.2">
      <c r="A145" s="71">
        <v>132</v>
      </c>
      <c r="B145" s="72" t="s">
        <v>277</v>
      </c>
      <c r="C145" s="73">
        <v>17.254450000000002</v>
      </c>
      <c r="D145" s="74">
        <v>227.74757499999782</v>
      </c>
      <c r="E145" s="73">
        <v>5110.7112544206357</v>
      </c>
      <c r="F145" s="75">
        <v>0.19178778625849124</v>
      </c>
      <c r="G145" s="76">
        <v>0.19393336828192684</v>
      </c>
      <c r="H145" s="72" t="s">
        <v>23</v>
      </c>
      <c r="I145" s="72" t="s">
        <v>278</v>
      </c>
    </row>
    <row r="146" spans="1:9" ht="12.75" customHeight="1" x14ac:dyDescent="0.2">
      <c r="A146" s="71">
        <v>133</v>
      </c>
      <c r="B146" s="72" t="s">
        <v>279</v>
      </c>
      <c r="C146" s="73">
        <v>17.443266666666666</v>
      </c>
      <c r="D146" s="74">
        <v>1468.1174499999811</v>
      </c>
      <c r="E146" s="73">
        <v>39517.082533175104</v>
      </c>
      <c r="F146" s="75">
        <v>1.2363117179313996</v>
      </c>
      <c r="G146" s="76">
        <v>1.4995331449618987</v>
      </c>
      <c r="H146" s="72" t="s">
        <v>23</v>
      </c>
      <c r="I146" s="72" t="s">
        <v>280</v>
      </c>
    </row>
    <row r="147" spans="1:9" ht="12.75" customHeight="1" x14ac:dyDescent="0.2">
      <c r="A147" s="71">
        <v>134</v>
      </c>
      <c r="B147" s="72" t="s">
        <v>277</v>
      </c>
      <c r="C147" s="73">
        <v>17.5291</v>
      </c>
      <c r="D147" s="74">
        <v>161.23928333332992</v>
      </c>
      <c r="E147" s="73">
        <v>5312.0000000000073</v>
      </c>
      <c r="F147" s="75">
        <v>0.13578070022657884</v>
      </c>
      <c r="G147" s="76">
        <v>0.20157156235788559</v>
      </c>
      <c r="H147" s="72" t="s">
        <v>23</v>
      </c>
      <c r="I147" s="72" t="s">
        <v>278</v>
      </c>
    </row>
    <row r="148" spans="1:9" ht="12.75" customHeight="1" x14ac:dyDescent="0.2">
      <c r="A148" s="71">
        <v>135</v>
      </c>
      <c r="B148" s="72" t="s">
        <v>277</v>
      </c>
      <c r="C148" s="73">
        <v>17.643533333333334</v>
      </c>
      <c r="D148" s="74">
        <v>32.749591666665651</v>
      </c>
      <c r="E148" s="73">
        <v>1557.1381606325012</v>
      </c>
      <c r="F148" s="75">
        <v>2.7578654510896101E-2</v>
      </c>
      <c r="G148" s="76">
        <v>5.9087871205906826E-2</v>
      </c>
      <c r="H148" s="72" t="s">
        <v>23</v>
      </c>
      <c r="I148" s="72" t="s">
        <v>278</v>
      </c>
    </row>
    <row r="149" spans="1:9" ht="12.75" customHeight="1" x14ac:dyDescent="0.2">
      <c r="A149" s="71">
        <v>136</v>
      </c>
      <c r="B149" s="72" t="s">
        <v>255</v>
      </c>
      <c r="C149" s="73">
        <v>17.75225</v>
      </c>
      <c r="D149" s="74">
        <v>119.47430833333715</v>
      </c>
      <c r="E149" s="73">
        <v>2763.254029908745</v>
      </c>
      <c r="F149" s="75">
        <v>0.10061012992131908</v>
      </c>
      <c r="G149" s="76">
        <v>0.1048556912651409</v>
      </c>
      <c r="H149" s="72" t="s">
        <v>23</v>
      </c>
      <c r="I149" s="72" t="s">
        <v>256</v>
      </c>
    </row>
    <row r="150" spans="1:9" ht="12.75" customHeight="1" x14ac:dyDescent="0.2">
      <c r="A150" s="71">
        <v>137</v>
      </c>
      <c r="B150" s="72" t="s">
        <v>277</v>
      </c>
      <c r="C150" s="73">
        <v>17.792316666666668</v>
      </c>
      <c r="D150" s="74">
        <v>115.22108333333085</v>
      </c>
      <c r="E150" s="73">
        <v>3725.7689320388126</v>
      </c>
      <c r="F150" s="75">
        <v>9.7028460139717748E-2</v>
      </c>
      <c r="G150" s="76">
        <v>0.14137971848936998</v>
      </c>
      <c r="H150" s="72" t="s">
        <v>23</v>
      </c>
      <c r="I150" s="72" t="s">
        <v>278</v>
      </c>
    </row>
    <row r="151" spans="1:9" ht="12.75" customHeight="1" x14ac:dyDescent="0.2">
      <c r="A151" s="71">
        <v>139</v>
      </c>
      <c r="B151" s="72" t="s">
        <v>277</v>
      </c>
      <c r="C151" s="73">
        <v>17.952533333333335</v>
      </c>
      <c r="D151" s="74">
        <v>756.0820916666537</v>
      </c>
      <c r="E151" s="73">
        <v>31841.811827956953</v>
      </c>
      <c r="F151" s="75">
        <v>0.63670188624593937</v>
      </c>
      <c r="G151" s="76">
        <v>1.2082838400728682</v>
      </c>
      <c r="H151" s="72" t="s">
        <v>23</v>
      </c>
      <c r="I151" s="72" t="s">
        <v>278</v>
      </c>
    </row>
    <row r="152" spans="1:9" ht="12.75" customHeight="1" x14ac:dyDescent="0.2">
      <c r="A152" s="71">
        <v>140</v>
      </c>
      <c r="B152" s="72" t="s">
        <v>277</v>
      </c>
      <c r="C152" s="73">
        <v>18.066966666666666</v>
      </c>
      <c r="D152" s="74">
        <v>597.68353333333198</v>
      </c>
      <c r="E152" s="73">
        <v>21360.177687154115</v>
      </c>
      <c r="F152" s="75">
        <v>0.50331337991701564</v>
      </c>
      <c r="G152" s="76">
        <v>0.81054299484971692</v>
      </c>
      <c r="H152" s="72" t="s">
        <v>23</v>
      </c>
      <c r="I152" s="72" t="s">
        <v>278</v>
      </c>
    </row>
    <row r="153" spans="1:9" ht="12.75" customHeight="1" x14ac:dyDescent="0.2">
      <c r="A153" s="71">
        <v>141</v>
      </c>
      <c r="B153" s="72" t="s">
        <v>277</v>
      </c>
      <c r="C153" s="73">
        <v>18.221466666666668</v>
      </c>
      <c r="D153" s="74">
        <v>1016.6355833333141</v>
      </c>
      <c r="E153" s="73">
        <v>32765.315256588023</v>
      </c>
      <c r="F153" s="75">
        <v>0.85611575868198853</v>
      </c>
      <c r="G153" s="76">
        <v>1.2433275202219698</v>
      </c>
      <c r="H153" s="72" t="s">
        <v>23</v>
      </c>
      <c r="I153" s="72" t="s">
        <v>278</v>
      </c>
    </row>
    <row r="154" spans="1:9" ht="12.75" customHeight="1" x14ac:dyDescent="0.2">
      <c r="A154" s="71">
        <v>142</v>
      </c>
      <c r="B154" s="72" t="s">
        <v>281</v>
      </c>
      <c r="C154" s="73">
        <v>18.330183333333334</v>
      </c>
      <c r="D154" s="74">
        <v>84.672258333331911</v>
      </c>
      <c r="E154" s="73">
        <v>3469.4641427011302</v>
      </c>
      <c r="F154" s="75">
        <v>7.1303086249137768E-2</v>
      </c>
      <c r="G154" s="76">
        <v>0.13165386065303614</v>
      </c>
      <c r="H154" s="72" t="s">
        <v>282</v>
      </c>
      <c r="I154" s="72" t="s">
        <v>283</v>
      </c>
    </row>
    <row r="155" spans="1:9" ht="12.75" customHeight="1" x14ac:dyDescent="0.2">
      <c r="A155" s="71">
        <v>143</v>
      </c>
      <c r="B155" s="72" t="s">
        <v>281</v>
      </c>
      <c r="C155" s="73">
        <v>18.456066666666668</v>
      </c>
      <c r="D155" s="74">
        <v>167.48359166666523</v>
      </c>
      <c r="E155" s="73">
        <v>5087.8048543688783</v>
      </c>
      <c r="F155" s="75">
        <v>0.14103907486334871</v>
      </c>
      <c r="G155" s="76">
        <v>0.19306415163162047</v>
      </c>
      <c r="H155" s="72" t="s">
        <v>282</v>
      </c>
      <c r="I155" s="72" t="s">
        <v>283</v>
      </c>
    </row>
    <row r="156" spans="1:9" ht="12.75" customHeight="1" x14ac:dyDescent="0.2">
      <c r="A156" s="71">
        <v>144</v>
      </c>
      <c r="B156" s="72" t="s">
        <v>281</v>
      </c>
      <c r="C156" s="73">
        <v>18.576216666666667</v>
      </c>
      <c r="D156" s="74">
        <v>507.65926714610305</v>
      </c>
      <c r="E156" s="73">
        <v>9648.1588639200636</v>
      </c>
      <c r="F156" s="75">
        <v>0.42750333135077312</v>
      </c>
      <c r="G156" s="76">
        <v>0.36611341417120619</v>
      </c>
      <c r="H156" s="72" t="s">
        <v>282</v>
      </c>
      <c r="I156" s="72" t="s">
        <v>283</v>
      </c>
    </row>
    <row r="157" spans="1:9" ht="12.75" customHeight="1" x14ac:dyDescent="0.2">
      <c r="A157" s="71">
        <v>145</v>
      </c>
      <c r="B157" s="72" t="s">
        <v>281</v>
      </c>
      <c r="C157" s="73">
        <v>18.644883333333333</v>
      </c>
      <c r="D157" s="74">
        <v>195.69829118722055</v>
      </c>
      <c r="E157" s="73">
        <v>5917.9470453599497</v>
      </c>
      <c r="F157" s="75">
        <v>0.16479886576780012</v>
      </c>
      <c r="G157" s="76">
        <v>0.22456510389390741</v>
      </c>
      <c r="H157" s="72" t="s">
        <v>282</v>
      </c>
      <c r="I157" s="72" t="s">
        <v>283</v>
      </c>
    </row>
    <row r="158" spans="1:9" ht="12.75" customHeight="1" x14ac:dyDescent="0.2">
      <c r="A158" s="71">
        <v>146</v>
      </c>
      <c r="B158" s="72" t="s">
        <v>281</v>
      </c>
      <c r="C158" s="73">
        <v>18.707833333333333</v>
      </c>
      <c r="D158" s="74">
        <v>108.03619166666294</v>
      </c>
      <c r="E158" s="73">
        <v>4153.514202476319</v>
      </c>
      <c r="F158" s="75">
        <v>9.0978013862705431E-2</v>
      </c>
      <c r="G158" s="76">
        <v>0.15761113461385873</v>
      </c>
      <c r="H158" s="72" t="s">
        <v>282</v>
      </c>
      <c r="I158" s="72" t="s">
        <v>283</v>
      </c>
    </row>
    <row r="159" spans="1:9" ht="12.75" customHeight="1" x14ac:dyDescent="0.2">
      <c r="A159" s="71">
        <v>147</v>
      </c>
      <c r="B159" s="72" t="s">
        <v>281</v>
      </c>
      <c r="C159" s="73">
        <v>18.805099999999999</v>
      </c>
      <c r="D159" s="74">
        <v>508.13553519980269</v>
      </c>
      <c r="E159" s="73">
        <v>10066.895370228442</v>
      </c>
      <c r="F159" s="75">
        <v>0.42790439992717705</v>
      </c>
      <c r="G159" s="76">
        <v>0.38200297964426005</v>
      </c>
      <c r="H159" s="72" t="s">
        <v>282</v>
      </c>
      <c r="I159" s="72" t="s">
        <v>283</v>
      </c>
    </row>
    <row r="160" spans="1:9" ht="12.75" customHeight="1" x14ac:dyDescent="0.2">
      <c r="A160" s="71">
        <v>148</v>
      </c>
      <c r="B160" s="72" t="s">
        <v>284</v>
      </c>
      <c r="C160" s="73">
        <v>18.902366666666666</v>
      </c>
      <c r="D160" s="74">
        <v>880.5188898001843</v>
      </c>
      <c r="E160" s="73">
        <v>25792.151234094759</v>
      </c>
      <c r="F160" s="75">
        <v>0.74149096267463377</v>
      </c>
      <c r="G160" s="76">
        <v>0.97872067410153252</v>
      </c>
      <c r="H160" s="72" t="s">
        <v>285</v>
      </c>
      <c r="I160" s="72" t="s">
        <v>286</v>
      </c>
    </row>
    <row r="161" spans="1:9" ht="12.75" customHeight="1" x14ac:dyDescent="0.2">
      <c r="A161" s="71">
        <v>149</v>
      </c>
      <c r="B161" s="72" t="s">
        <v>281</v>
      </c>
      <c r="C161" s="73">
        <v>19.068316666666668</v>
      </c>
      <c r="D161" s="74">
        <v>734.49234999999317</v>
      </c>
      <c r="E161" s="73">
        <v>21214.14530500344</v>
      </c>
      <c r="F161" s="75">
        <v>0.61852101753573874</v>
      </c>
      <c r="G161" s="76">
        <v>0.80500158381339249</v>
      </c>
      <c r="H161" s="72" t="s">
        <v>282</v>
      </c>
      <c r="I161" s="72" t="s">
        <v>283</v>
      </c>
    </row>
    <row r="162" spans="1:9" ht="12.75" customHeight="1" x14ac:dyDescent="0.2">
      <c r="A162" s="71">
        <v>150</v>
      </c>
      <c r="B162" s="72" t="s">
        <v>284</v>
      </c>
      <c r="C162" s="73">
        <v>19.154133333333334</v>
      </c>
      <c r="D162" s="74">
        <v>10.075249999994867</v>
      </c>
      <c r="E162" s="73">
        <v>253.16241806296603</v>
      </c>
      <c r="F162" s="75">
        <v>8.4844367431789244E-3</v>
      </c>
      <c r="G162" s="76">
        <v>9.6066159900700648E-3</v>
      </c>
      <c r="H162" s="72" t="s">
        <v>285</v>
      </c>
      <c r="I162" s="72" t="s">
        <v>286</v>
      </c>
    </row>
    <row r="163" spans="1:9" ht="12.75" customHeight="1" x14ac:dyDescent="0.2">
      <c r="A163" s="71">
        <v>151</v>
      </c>
      <c r="B163" s="72" t="s">
        <v>284</v>
      </c>
      <c r="C163" s="73">
        <v>19.257133333333332</v>
      </c>
      <c r="D163" s="74">
        <v>193.36782499999754</v>
      </c>
      <c r="E163" s="73">
        <v>5876.6438143328996</v>
      </c>
      <c r="F163" s="75">
        <v>0.16283636429660875</v>
      </c>
      <c r="G163" s="76">
        <v>0.22299779274771933</v>
      </c>
      <c r="H163" s="72" t="s">
        <v>285</v>
      </c>
      <c r="I163" s="72" t="s">
        <v>286</v>
      </c>
    </row>
    <row r="164" spans="1:9" ht="12.75" customHeight="1" x14ac:dyDescent="0.2">
      <c r="A164" s="71">
        <v>152</v>
      </c>
      <c r="B164" s="72" t="s">
        <v>281</v>
      </c>
      <c r="C164" s="73">
        <v>19.388750000000002</v>
      </c>
      <c r="D164" s="74">
        <v>363.08586666666724</v>
      </c>
      <c r="E164" s="73">
        <v>7081.0491534680114</v>
      </c>
      <c r="F164" s="75">
        <v>0.30575708474501428</v>
      </c>
      <c r="G164" s="76">
        <v>0.26870070425405279</v>
      </c>
      <c r="H164" s="72" t="s">
        <v>282</v>
      </c>
      <c r="I164" s="72" t="s">
        <v>283</v>
      </c>
    </row>
    <row r="165" spans="1:9" ht="12.75" customHeight="1" x14ac:dyDescent="0.2">
      <c r="A165" s="71">
        <v>153</v>
      </c>
      <c r="B165" s="72" t="s">
        <v>281</v>
      </c>
      <c r="C165" s="73">
        <v>19.4574</v>
      </c>
      <c r="D165" s="74">
        <v>401.79550833332996</v>
      </c>
      <c r="E165" s="73">
        <v>8546.387527839659</v>
      </c>
      <c r="F165" s="75">
        <v>0.33835473801139376</v>
      </c>
      <c r="G165" s="76">
        <v>0.32430509911569749</v>
      </c>
      <c r="H165" s="72" t="s">
        <v>282</v>
      </c>
      <c r="I165" s="72" t="s">
        <v>283</v>
      </c>
    </row>
    <row r="166" spans="1:9" ht="12.75" customHeight="1" x14ac:dyDescent="0.2">
      <c r="A166" s="71">
        <v>155</v>
      </c>
      <c r="B166" s="72" t="s">
        <v>281</v>
      </c>
      <c r="C166" s="73">
        <v>19.657666666666668</v>
      </c>
      <c r="D166" s="74">
        <v>107.44278333333114</v>
      </c>
      <c r="E166" s="73">
        <v>4303.5266530731096</v>
      </c>
      <c r="F166" s="75">
        <v>9.0478300657868674E-2</v>
      </c>
      <c r="G166" s="76">
        <v>0.16330357513342392</v>
      </c>
      <c r="H166" s="72" t="s">
        <v>282</v>
      </c>
      <c r="I166" s="72" t="s">
        <v>283</v>
      </c>
    </row>
    <row r="167" spans="1:9" ht="12.75" customHeight="1" x14ac:dyDescent="0.2">
      <c r="A167" s="71">
        <v>156</v>
      </c>
      <c r="B167" s="72" t="s">
        <v>281</v>
      </c>
      <c r="C167" s="73">
        <v>19.766400000000001</v>
      </c>
      <c r="D167" s="74">
        <v>84.793141666665633</v>
      </c>
      <c r="E167" s="73">
        <v>3847.2329814343248</v>
      </c>
      <c r="F167" s="75">
        <v>7.1404882928622154E-2</v>
      </c>
      <c r="G167" s="76">
        <v>0.14598884842291077</v>
      </c>
      <c r="H167" s="72" t="s">
        <v>282</v>
      </c>
      <c r="I167" s="72" t="s">
        <v>283</v>
      </c>
    </row>
    <row r="168" spans="1:9" ht="12.75" customHeight="1" x14ac:dyDescent="0.2">
      <c r="A168" s="77">
        <v>157</v>
      </c>
      <c r="B168" s="78" t="s">
        <v>281</v>
      </c>
      <c r="C168" s="79">
        <v>19.898</v>
      </c>
      <c r="D168" s="80">
        <v>484.82893333332868</v>
      </c>
      <c r="E168" s="79">
        <v>8532.2941747572841</v>
      </c>
      <c r="F168" s="81">
        <v>0.4082777515328786</v>
      </c>
      <c r="G168" s="82">
        <v>0.32377030634467424</v>
      </c>
      <c r="H168" s="78" t="s">
        <v>282</v>
      </c>
      <c r="I168" s="78" t="s">
        <v>283</v>
      </c>
    </row>
    <row r="169" spans="1:9" ht="16.5" customHeight="1" x14ac:dyDescent="0.2">
      <c r="A169" s="83" t="s">
        <v>287</v>
      </c>
      <c r="B169" s="84"/>
      <c r="C169" s="85"/>
      <c r="D169" s="86">
        <f>SUM(D44:D168)</f>
        <v>115441.27879321331</v>
      </c>
      <c r="E169" s="86">
        <f>SUM(E44:E168)</f>
        <v>2552791.7262912276</v>
      </c>
      <c r="F169" s="86">
        <f>SUM(F44:F168)</f>
        <v>97.213888238326561</v>
      </c>
      <c r="G169" s="86">
        <f>SUM(I44:I168)</f>
        <v>0</v>
      </c>
      <c r="H169" s="87"/>
      <c r="I169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432F-8C00-4DB3-871D-FEDD2171657A}">
  <dimension ref="A1:J169"/>
  <sheetViews>
    <sheetView topLeftCell="A128" workbookViewId="0">
      <selection activeCell="A40" sqref="A40:I169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46286.928472222222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10" ht="12.75" customHeight="1" x14ac:dyDescent="0.2"/>
    <row r="34" spans="1:10" ht="12.75" customHeight="1" x14ac:dyDescent="0.2"/>
    <row r="35" spans="1:10" ht="12.75" customHeight="1" x14ac:dyDescent="0.2"/>
    <row r="36" spans="1:10" ht="12.75" customHeight="1" x14ac:dyDescent="0.2"/>
    <row r="37" spans="1:10" ht="12.75" customHeight="1" x14ac:dyDescent="0.2"/>
    <row r="38" spans="1:10" ht="12.75" customHeight="1" x14ac:dyDescent="0.2"/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45</v>
      </c>
      <c r="B43" s="63" t="s">
        <v>45</v>
      </c>
      <c r="C43" s="64" t="s">
        <v>45</v>
      </c>
      <c r="D43" s="64" t="s">
        <v>45</v>
      </c>
      <c r="E43" s="64" t="s">
        <v>45</v>
      </c>
      <c r="F43" s="64" t="s">
        <v>45</v>
      </c>
      <c r="G43" s="64" t="s">
        <v>45</v>
      </c>
      <c r="H43" s="64" t="s">
        <v>45</v>
      </c>
      <c r="I43" s="64" t="s">
        <v>45</v>
      </c>
      <c r="J43" s="58"/>
    </row>
    <row r="44" spans="1:10" ht="12.75" customHeight="1" x14ac:dyDescent="0.2">
      <c r="A44" s="65">
        <v>1</v>
      </c>
      <c r="B44" s="66" t="s">
        <v>71</v>
      </c>
      <c r="C44" s="67">
        <v>3.1497833333333336</v>
      </c>
      <c r="D44" s="68">
        <v>53.500991666666891</v>
      </c>
      <c r="E44" s="67">
        <v>2495.2609238451987</v>
      </c>
      <c r="F44" s="69">
        <v>4.5053549985698549E-2</v>
      </c>
      <c r="G44" s="70">
        <v>9.4686303258670362E-2</v>
      </c>
      <c r="H44" s="66" t="s">
        <v>72</v>
      </c>
      <c r="I44" s="66" t="s">
        <v>73</v>
      </c>
    </row>
    <row r="45" spans="1:10" ht="12.75" customHeight="1" x14ac:dyDescent="0.2">
      <c r="A45" s="71">
        <v>2</v>
      </c>
      <c r="B45" s="72" t="s">
        <v>71</v>
      </c>
      <c r="C45" s="73">
        <v>3.1955666666666667</v>
      </c>
      <c r="D45" s="74">
        <v>13.796208333333198</v>
      </c>
      <c r="E45" s="73">
        <v>1507.7449039021521</v>
      </c>
      <c r="F45" s="75">
        <v>1.1617881134457516E-2</v>
      </c>
      <c r="G45" s="76">
        <v>5.7213572273474483E-2</v>
      </c>
      <c r="H45" s="72" t="s">
        <v>72</v>
      </c>
      <c r="I45" s="72" t="s">
        <v>73</v>
      </c>
    </row>
    <row r="46" spans="1:10" ht="12.75" customHeight="1" x14ac:dyDescent="0.2">
      <c r="A46" s="71">
        <v>3</v>
      </c>
      <c r="B46" s="72" t="s">
        <v>74</v>
      </c>
      <c r="C46" s="73">
        <v>3.2470666666666665</v>
      </c>
      <c r="D46" s="74">
        <v>11.293349999999805</v>
      </c>
      <c r="E46" s="73">
        <v>124.85693483799696</v>
      </c>
      <c r="F46" s="75">
        <v>9.5102070612269538E-3</v>
      </c>
      <c r="G46" s="76">
        <v>4.7378779040872978E-3</v>
      </c>
      <c r="H46" s="72" t="s">
        <v>75</v>
      </c>
      <c r="I46" s="72" t="s">
        <v>76</v>
      </c>
    </row>
    <row r="47" spans="1:10" ht="12.75" customHeight="1" x14ac:dyDescent="0.2">
      <c r="A47" s="71">
        <v>4</v>
      </c>
      <c r="B47" s="72" t="s">
        <v>74</v>
      </c>
      <c r="C47" s="73">
        <v>3.3672166666666667</v>
      </c>
      <c r="D47" s="74">
        <v>62.363249999999766</v>
      </c>
      <c r="E47" s="73">
        <v>1617.2038834951436</v>
      </c>
      <c r="F47" s="75">
        <v>5.25165181731789E-2</v>
      </c>
      <c r="G47" s="76">
        <v>6.1367152380902797E-2</v>
      </c>
      <c r="H47" s="72" t="s">
        <v>75</v>
      </c>
      <c r="I47" s="72" t="s">
        <v>76</v>
      </c>
    </row>
    <row r="48" spans="1:10" ht="12.75" customHeight="1" x14ac:dyDescent="0.2">
      <c r="A48" s="71">
        <v>5</v>
      </c>
      <c r="B48" s="72" t="s">
        <v>74</v>
      </c>
      <c r="C48" s="73">
        <v>3.5617666666666667</v>
      </c>
      <c r="D48" s="74">
        <v>3.5520500000000652</v>
      </c>
      <c r="E48" s="73">
        <v>313.63398058252506</v>
      </c>
      <c r="F48" s="75">
        <v>2.9912055317361463E-3</v>
      </c>
      <c r="G48" s="76">
        <v>1.190129734084003E-2</v>
      </c>
      <c r="H48" s="72" t="s">
        <v>75</v>
      </c>
      <c r="I48" s="72" t="s">
        <v>76</v>
      </c>
    </row>
    <row r="49" spans="1:9" ht="12.75" customHeight="1" x14ac:dyDescent="0.2">
      <c r="A49" s="71">
        <v>6</v>
      </c>
      <c r="B49" s="72" t="s">
        <v>74</v>
      </c>
      <c r="C49" s="73">
        <v>3.7448666666666668</v>
      </c>
      <c r="D49" s="74">
        <v>243.37344166666708</v>
      </c>
      <c r="E49" s="73">
        <v>4120.4215309332403</v>
      </c>
      <c r="F49" s="75">
        <v>0.20494643515462493</v>
      </c>
      <c r="G49" s="76">
        <v>0.15635538508344934</v>
      </c>
      <c r="H49" s="72" t="s">
        <v>75</v>
      </c>
      <c r="I49" s="72" t="s">
        <v>76</v>
      </c>
    </row>
    <row r="50" spans="1:9" ht="12.75" customHeight="1" x14ac:dyDescent="0.2">
      <c r="A50" s="71">
        <v>7</v>
      </c>
      <c r="B50" s="72" t="s">
        <v>77</v>
      </c>
      <c r="C50" s="73">
        <v>3.8822000000000001</v>
      </c>
      <c r="D50" s="74">
        <v>34.977716666666709</v>
      </c>
      <c r="E50" s="73">
        <v>931.23997311225639</v>
      </c>
      <c r="F50" s="75">
        <v>2.9454973770310425E-2</v>
      </c>
      <c r="G50" s="76">
        <v>3.5337254576497105E-2</v>
      </c>
      <c r="H50" s="72" t="s">
        <v>23</v>
      </c>
      <c r="I50" s="72" t="s">
        <v>78</v>
      </c>
    </row>
    <row r="51" spans="1:9" ht="12.75" customHeight="1" x14ac:dyDescent="0.2">
      <c r="A51" s="71">
        <v>8</v>
      </c>
      <c r="B51" s="72" t="s">
        <v>79</v>
      </c>
      <c r="C51" s="73">
        <v>3.9508666666666667</v>
      </c>
      <c r="D51" s="74">
        <v>56.75137500000011</v>
      </c>
      <c r="E51" s="73">
        <v>959.83425575298588</v>
      </c>
      <c r="F51" s="75">
        <v>4.779071995991882E-2</v>
      </c>
      <c r="G51" s="76">
        <v>3.6422306200441915E-2</v>
      </c>
      <c r="H51" s="72" t="s">
        <v>23</v>
      </c>
      <c r="I51" s="72" t="s">
        <v>80</v>
      </c>
    </row>
    <row r="52" spans="1:9" ht="12.75" customHeight="1" x14ac:dyDescent="0.2">
      <c r="A52" s="71">
        <v>10</v>
      </c>
      <c r="B52" s="72" t="s">
        <v>81</v>
      </c>
      <c r="C52" s="73">
        <v>4.3342333333333336</v>
      </c>
      <c r="D52" s="74">
        <v>0.36530000000001905</v>
      </c>
      <c r="E52" s="73">
        <v>347.23892773893112</v>
      </c>
      <c r="F52" s="75">
        <v>3.076216215265132E-4</v>
      </c>
      <c r="G52" s="76">
        <v>1.3176485914121457E-2</v>
      </c>
      <c r="H52" s="72" t="s">
        <v>23</v>
      </c>
      <c r="I52" s="72" t="s">
        <v>82</v>
      </c>
    </row>
    <row r="53" spans="1:9" ht="12.75" customHeight="1" x14ac:dyDescent="0.2">
      <c r="A53" s="71">
        <v>11</v>
      </c>
      <c r="B53" s="72" t="s">
        <v>83</v>
      </c>
      <c r="C53" s="73">
        <v>4.420066666666667</v>
      </c>
      <c r="D53" s="74">
        <v>21.12976666666664</v>
      </c>
      <c r="E53" s="73">
        <v>758.68009708737986</v>
      </c>
      <c r="F53" s="75">
        <v>1.7793520625449002E-2</v>
      </c>
      <c r="G53" s="76">
        <v>2.8789219220582692E-2</v>
      </c>
      <c r="H53" s="72" t="s">
        <v>23</v>
      </c>
      <c r="I53" s="72" t="s">
        <v>84</v>
      </c>
    </row>
    <row r="54" spans="1:9" ht="12.75" customHeight="1" x14ac:dyDescent="0.2">
      <c r="A54" s="71">
        <v>15</v>
      </c>
      <c r="B54" s="72" t="s">
        <v>85</v>
      </c>
      <c r="C54" s="73">
        <v>4.7176</v>
      </c>
      <c r="D54" s="74">
        <v>5.4201083333333671</v>
      </c>
      <c r="E54" s="73">
        <v>256.27436440677968</v>
      </c>
      <c r="F54" s="75">
        <v>4.5643101953169729E-3</v>
      </c>
      <c r="G54" s="76">
        <v>9.7247033181002661E-3</v>
      </c>
      <c r="H54" s="72" t="s">
        <v>23</v>
      </c>
      <c r="I54" s="72" t="s">
        <v>86</v>
      </c>
    </row>
    <row r="55" spans="1:9" ht="12.75" customHeight="1" x14ac:dyDescent="0.2">
      <c r="A55" s="71">
        <v>16</v>
      </c>
      <c r="B55" s="72" t="s">
        <v>87</v>
      </c>
      <c r="C55" s="73">
        <v>4.8320499999999997</v>
      </c>
      <c r="D55" s="74">
        <v>10.52298333333324</v>
      </c>
      <c r="E55" s="73">
        <v>412.54805401111969</v>
      </c>
      <c r="F55" s="75">
        <v>8.8614760369457313E-3</v>
      </c>
      <c r="G55" s="76">
        <v>1.5654735654127758E-2</v>
      </c>
      <c r="H55" s="72" t="s">
        <v>23</v>
      </c>
      <c r="I55" s="72" t="s">
        <v>88</v>
      </c>
    </row>
    <row r="56" spans="1:9" ht="12.75" customHeight="1" x14ac:dyDescent="0.2">
      <c r="A56" s="71">
        <v>17</v>
      </c>
      <c r="B56" s="72" t="s">
        <v>85</v>
      </c>
      <c r="C56" s="73">
        <v>4.9064333333333332</v>
      </c>
      <c r="D56" s="74">
        <v>6.6439416666666968</v>
      </c>
      <c r="E56" s="73">
        <v>288.13732833957624</v>
      </c>
      <c r="F56" s="75">
        <v>5.5949085924650076E-3</v>
      </c>
      <c r="G56" s="76">
        <v>1.0933789805541296E-2</v>
      </c>
      <c r="H56" s="72" t="s">
        <v>23</v>
      </c>
      <c r="I56" s="72" t="s">
        <v>86</v>
      </c>
    </row>
    <row r="57" spans="1:9" ht="12.75" customHeight="1" x14ac:dyDescent="0.2">
      <c r="A57" s="71">
        <v>18</v>
      </c>
      <c r="B57" s="72" t="s">
        <v>87</v>
      </c>
      <c r="C57" s="73">
        <v>4.9751000000000003</v>
      </c>
      <c r="D57" s="74">
        <v>5.7396666666666221</v>
      </c>
      <c r="E57" s="73">
        <v>433.29379941739541</v>
      </c>
      <c r="F57" s="75">
        <v>4.8334124473626361E-3</v>
      </c>
      <c r="G57" s="76">
        <v>1.6441963122844235E-2</v>
      </c>
      <c r="H57" s="72" t="s">
        <v>23</v>
      </c>
      <c r="I57" s="72" t="s">
        <v>88</v>
      </c>
    </row>
    <row r="58" spans="1:9" ht="12.75" customHeight="1" x14ac:dyDescent="0.2">
      <c r="A58" s="71">
        <v>19</v>
      </c>
      <c r="B58" s="72" t="s">
        <v>89</v>
      </c>
      <c r="C58" s="73">
        <v>5.1467499999999999</v>
      </c>
      <c r="D58" s="74">
        <v>225.42961150974756</v>
      </c>
      <c r="E58" s="73">
        <v>3344.16208769582</v>
      </c>
      <c r="F58" s="75">
        <v>0.18983581339369518</v>
      </c>
      <c r="G58" s="76">
        <v>0.1268990920171035</v>
      </c>
      <c r="H58" s="72" t="s">
        <v>90</v>
      </c>
      <c r="I58" s="72" t="s">
        <v>91</v>
      </c>
    </row>
    <row r="59" spans="1:9" ht="12.75" customHeight="1" x14ac:dyDescent="0.2">
      <c r="A59" s="71">
        <v>20</v>
      </c>
      <c r="B59" s="72" t="s">
        <v>92</v>
      </c>
      <c r="C59" s="73">
        <v>5.1925333333333334</v>
      </c>
      <c r="D59" s="74">
        <v>235.54101774515263</v>
      </c>
      <c r="E59" s="73">
        <v>4386.64835078328</v>
      </c>
      <c r="F59" s="75">
        <v>0.19835069754931645</v>
      </c>
      <c r="G59" s="76">
        <v>0.16645774879179717</v>
      </c>
      <c r="H59" s="72" t="s">
        <v>93</v>
      </c>
      <c r="I59" s="72" t="s">
        <v>94</v>
      </c>
    </row>
    <row r="60" spans="1:9" ht="12.75" customHeight="1" x14ac:dyDescent="0.2">
      <c r="A60" s="71">
        <v>21</v>
      </c>
      <c r="B60" s="72" t="s">
        <v>92</v>
      </c>
      <c r="C60" s="73">
        <v>5.2612000000000005</v>
      </c>
      <c r="D60" s="74">
        <v>242.62694508711783</v>
      </c>
      <c r="E60" s="73">
        <v>4446.3780209399356</v>
      </c>
      <c r="F60" s="75">
        <v>0.20431780529351098</v>
      </c>
      <c r="G60" s="76">
        <v>0.16872427795832548</v>
      </c>
      <c r="H60" s="72" t="s">
        <v>93</v>
      </c>
      <c r="I60" s="72" t="s">
        <v>94</v>
      </c>
    </row>
    <row r="61" spans="1:9" ht="12.75" customHeight="1" x14ac:dyDescent="0.2">
      <c r="A61" s="71">
        <v>22</v>
      </c>
      <c r="B61" s="72" t="s">
        <v>95</v>
      </c>
      <c r="C61" s="73">
        <v>5.3184166666666668</v>
      </c>
      <c r="D61" s="74">
        <v>261.0478569215939</v>
      </c>
      <c r="E61" s="73">
        <v>4137.4862630874595</v>
      </c>
      <c r="F61" s="75">
        <v>0.21983018078904393</v>
      </c>
      <c r="G61" s="76">
        <v>0.15700293115301725</v>
      </c>
      <c r="H61" s="72" t="s">
        <v>23</v>
      </c>
      <c r="I61" s="72" t="s">
        <v>96</v>
      </c>
    </row>
    <row r="62" spans="1:9" ht="12.75" customHeight="1" x14ac:dyDescent="0.2">
      <c r="A62" s="71">
        <v>23</v>
      </c>
      <c r="B62" s="72" t="s">
        <v>97</v>
      </c>
      <c r="C62" s="73">
        <v>5.375633333333333</v>
      </c>
      <c r="D62" s="74">
        <v>158.9206937363881</v>
      </c>
      <c r="E62" s="73">
        <v>3148.5945052349839</v>
      </c>
      <c r="F62" s="75">
        <v>0.13382820011306745</v>
      </c>
      <c r="G62" s="76">
        <v>0.11947799579285931</v>
      </c>
      <c r="H62" s="72" t="s">
        <v>23</v>
      </c>
      <c r="I62" s="72" t="s">
        <v>98</v>
      </c>
    </row>
    <row r="63" spans="1:9" ht="12.75" customHeight="1" x14ac:dyDescent="0.2">
      <c r="A63" s="71">
        <v>24</v>
      </c>
      <c r="B63" s="72" t="s">
        <v>99</v>
      </c>
      <c r="C63" s="73">
        <v>5.5472999999999999</v>
      </c>
      <c r="D63" s="74">
        <v>90.271516666666699</v>
      </c>
      <c r="E63" s="73">
        <v>1623.9951456310678</v>
      </c>
      <c r="F63" s="75">
        <v>7.6018259881347444E-2</v>
      </c>
      <c r="G63" s="76">
        <v>6.1624856695496201E-2</v>
      </c>
      <c r="H63" s="72" t="s">
        <v>100</v>
      </c>
      <c r="I63" s="72" t="s">
        <v>101</v>
      </c>
    </row>
    <row r="64" spans="1:9" ht="12.75" customHeight="1" x14ac:dyDescent="0.2">
      <c r="A64" s="71">
        <v>25</v>
      </c>
      <c r="B64" s="72" t="s">
        <v>102</v>
      </c>
      <c r="C64" s="73">
        <v>5.6960666666666668</v>
      </c>
      <c r="D64" s="74">
        <v>15.165724999999863</v>
      </c>
      <c r="E64" s="73">
        <v>701.85310029130267</v>
      </c>
      <c r="F64" s="75">
        <v>1.2771160460237871E-2</v>
      </c>
      <c r="G64" s="76">
        <v>2.6632836214503661E-2</v>
      </c>
      <c r="H64" s="72" t="s">
        <v>103</v>
      </c>
      <c r="I64" s="72" t="s">
        <v>104</v>
      </c>
    </row>
    <row r="65" spans="1:9" ht="12.75" customHeight="1" x14ac:dyDescent="0.2">
      <c r="A65" s="71">
        <v>26</v>
      </c>
      <c r="B65" s="72" t="s">
        <v>102</v>
      </c>
      <c r="C65" s="73">
        <v>5.7990666666666666</v>
      </c>
      <c r="D65" s="74">
        <v>1.8676249999999666</v>
      </c>
      <c r="E65" s="73">
        <v>477.4577751892794</v>
      </c>
      <c r="F65" s="75">
        <v>1.5727397506252777E-3</v>
      </c>
      <c r="G65" s="76">
        <v>1.8117829387203129E-2</v>
      </c>
      <c r="H65" s="72" t="s">
        <v>103</v>
      </c>
      <c r="I65" s="72" t="s">
        <v>104</v>
      </c>
    </row>
    <row r="66" spans="1:9" ht="12.75" customHeight="1" x14ac:dyDescent="0.2">
      <c r="A66" s="71">
        <v>27</v>
      </c>
      <c r="B66" s="72" t="s">
        <v>105</v>
      </c>
      <c r="C66" s="73">
        <v>5.8448333333333338</v>
      </c>
      <c r="D66" s="74">
        <v>13.76196666666673</v>
      </c>
      <c r="E66" s="73">
        <v>767.60597232338034</v>
      </c>
      <c r="F66" s="75">
        <v>1.15890459934126E-2</v>
      </c>
      <c r="G66" s="76">
        <v>2.9127924532467521E-2</v>
      </c>
      <c r="H66" s="72" t="s">
        <v>23</v>
      </c>
      <c r="I66" s="72" t="s">
        <v>106</v>
      </c>
    </row>
    <row r="67" spans="1:9" ht="12.75" customHeight="1" x14ac:dyDescent="0.2">
      <c r="A67" s="71">
        <v>29</v>
      </c>
      <c r="B67" s="72" t="s">
        <v>85</v>
      </c>
      <c r="C67" s="73">
        <v>5.9249499999999999</v>
      </c>
      <c r="D67" s="74">
        <v>1.6198416666667486</v>
      </c>
      <c r="E67" s="73">
        <v>163.59464181712329</v>
      </c>
      <c r="F67" s="75">
        <v>1.3640797156206101E-3</v>
      </c>
      <c r="G67" s="76">
        <v>6.2078365106280455E-3</v>
      </c>
      <c r="H67" s="72" t="s">
        <v>23</v>
      </c>
      <c r="I67" s="72" t="s">
        <v>86</v>
      </c>
    </row>
    <row r="68" spans="1:9" ht="12.75" customHeight="1" x14ac:dyDescent="0.2">
      <c r="A68" s="71">
        <v>34</v>
      </c>
      <c r="B68" s="72" t="s">
        <v>107</v>
      </c>
      <c r="C68" s="73">
        <v>6.3083166666666672</v>
      </c>
      <c r="D68" s="74">
        <v>12.539100000000037</v>
      </c>
      <c r="E68" s="73">
        <v>475.26286407767066</v>
      </c>
      <c r="F68" s="75">
        <v>1.0559261632857683E-2</v>
      </c>
      <c r="G68" s="76">
        <v>1.8034540294205453E-2</v>
      </c>
      <c r="H68" s="72" t="s">
        <v>108</v>
      </c>
      <c r="I68" s="72" t="s">
        <v>109</v>
      </c>
    </row>
    <row r="69" spans="1:9" ht="12.75" customHeight="1" x14ac:dyDescent="0.2">
      <c r="A69" s="71">
        <v>35</v>
      </c>
      <c r="B69" s="72" t="s">
        <v>85</v>
      </c>
      <c r="C69" s="73">
        <v>6.4341999999999997</v>
      </c>
      <c r="D69" s="74">
        <v>6.1590833333332995</v>
      </c>
      <c r="E69" s="73">
        <v>494.54514563106341</v>
      </c>
      <c r="F69" s="75">
        <v>5.1866060829915484E-3</v>
      </c>
      <c r="G69" s="76">
        <v>1.8766234499503272E-2</v>
      </c>
      <c r="H69" s="72" t="s">
        <v>23</v>
      </c>
      <c r="I69" s="72" t="s">
        <v>86</v>
      </c>
    </row>
    <row r="70" spans="1:9" ht="12.75" customHeight="1" x14ac:dyDescent="0.2">
      <c r="A70" s="71">
        <v>36</v>
      </c>
      <c r="B70" s="72" t="s">
        <v>85</v>
      </c>
      <c r="C70" s="73">
        <v>6.4570833333333333</v>
      </c>
      <c r="D70" s="74">
        <v>9.8091083333333717</v>
      </c>
      <c r="E70" s="73">
        <v>361.8824171823822</v>
      </c>
      <c r="F70" s="75">
        <v>8.2603170304656106E-3</v>
      </c>
      <c r="G70" s="76">
        <v>1.3732154409130426E-2</v>
      </c>
      <c r="H70" s="72" t="s">
        <v>23</v>
      </c>
      <c r="I70" s="72" t="s">
        <v>86</v>
      </c>
    </row>
    <row r="71" spans="1:9" ht="12.75" customHeight="1" x14ac:dyDescent="0.2">
      <c r="A71" s="71">
        <v>40</v>
      </c>
      <c r="B71" s="72" t="s">
        <v>110</v>
      </c>
      <c r="C71" s="73">
        <v>6.8118499999999997</v>
      </c>
      <c r="D71" s="74">
        <v>24.693741666666689</v>
      </c>
      <c r="E71" s="73">
        <v>944.35501618123476</v>
      </c>
      <c r="F71" s="75">
        <v>2.0794768281019525E-2</v>
      </c>
      <c r="G71" s="76">
        <v>3.5834923951836892E-2</v>
      </c>
      <c r="H71" s="72" t="s">
        <v>23</v>
      </c>
      <c r="I71" s="72" t="s">
        <v>111</v>
      </c>
    </row>
    <row r="72" spans="1:9" ht="12.75" customHeight="1" x14ac:dyDescent="0.2">
      <c r="A72" s="71">
        <v>41</v>
      </c>
      <c r="B72" s="72" t="s">
        <v>112</v>
      </c>
      <c r="C72" s="73">
        <v>6.8919500000000005</v>
      </c>
      <c r="D72" s="74">
        <v>205.71733333333358</v>
      </c>
      <c r="E72" s="73">
        <v>6296.3058438012013</v>
      </c>
      <c r="F72" s="75">
        <v>0.17323596949385983</v>
      </c>
      <c r="G72" s="76">
        <v>0.23892247854256243</v>
      </c>
      <c r="H72" s="72" t="s">
        <v>23</v>
      </c>
      <c r="I72" s="72" t="s">
        <v>113</v>
      </c>
    </row>
    <row r="73" spans="1:9" ht="12.75" customHeight="1" x14ac:dyDescent="0.2">
      <c r="A73" s="71">
        <v>42</v>
      </c>
      <c r="B73" s="72" t="s">
        <v>114</v>
      </c>
      <c r="C73" s="73">
        <v>7.0121166666666666</v>
      </c>
      <c r="D73" s="74">
        <v>6.2754583333334093</v>
      </c>
      <c r="E73" s="73">
        <v>409</v>
      </c>
      <c r="F73" s="75">
        <v>5.284606264226643E-3</v>
      </c>
      <c r="G73" s="76">
        <v>1.5520099586666999E-2</v>
      </c>
      <c r="H73" s="72" t="s">
        <v>23</v>
      </c>
      <c r="I73" s="72" t="s">
        <v>115</v>
      </c>
    </row>
    <row r="74" spans="1:9" ht="12.75" customHeight="1" x14ac:dyDescent="0.2">
      <c r="A74" s="71">
        <v>43</v>
      </c>
      <c r="B74" s="72" t="s">
        <v>116</v>
      </c>
      <c r="C74" s="73">
        <v>7.0807833333333337</v>
      </c>
      <c r="D74" s="74">
        <v>3.8757749999999871</v>
      </c>
      <c r="E74" s="73">
        <v>301.02961165048487</v>
      </c>
      <c r="F74" s="75">
        <v>3.2638165622005354E-3</v>
      </c>
      <c r="G74" s="76">
        <v>1.1423006238022537E-2</v>
      </c>
      <c r="H74" s="72" t="s">
        <v>117</v>
      </c>
      <c r="I74" s="72" t="s">
        <v>118</v>
      </c>
    </row>
    <row r="75" spans="1:9" ht="12.75" customHeight="1" x14ac:dyDescent="0.2">
      <c r="A75" s="71">
        <v>46</v>
      </c>
      <c r="B75" s="72" t="s">
        <v>119</v>
      </c>
      <c r="C75" s="73">
        <v>7.3096666666666668</v>
      </c>
      <c r="D75" s="74">
        <v>43.342066666666526</v>
      </c>
      <c r="E75" s="73">
        <v>1329</v>
      </c>
      <c r="F75" s="75">
        <v>3.6498649954310146E-2</v>
      </c>
      <c r="G75" s="76">
        <v>5.0430837043228462E-2</v>
      </c>
      <c r="H75" s="72" t="s">
        <v>120</v>
      </c>
      <c r="I75" s="72" t="s">
        <v>121</v>
      </c>
    </row>
    <row r="76" spans="1:9" ht="12.75" customHeight="1" x14ac:dyDescent="0.2">
      <c r="A76" s="71">
        <v>47</v>
      </c>
      <c r="B76" s="72" t="s">
        <v>122</v>
      </c>
      <c r="C76" s="73">
        <v>7.5556999999999999</v>
      </c>
      <c r="D76" s="74">
        <v>275.07130173488713</v>
      </c>
      <c r="E76" s="73">
        <v>5427.8660508968269</v>
      </c>
      <c r="F76" s="75">
        <v>0.23163941931314083</v>
      </c>
      <c r="G76" s="76">
        <v>0.20596826810026328</v>
      </c>
      <c r="H76" s="72" t="s">
        <v>123</v>
      </c>
      <c r="I76" s="72" t="s">
        <v>124</v>
      </c>
    </row>
    <row r="77" spans="1:9" ht="12.75" customHeight="1" x14ac:dyDescent="0.2">
      <c r="A77" s="71">
        <v>48</v>
      </c>
      <c r="B77" s="72" t="s">
        <v>125</v>
      </c>
      <c r="C77" s="73">
        <v>7.6472500000000005</v>
      </c>
      <c r="D77" s="74">
        <v>585.92678828216799</v>
      </c>
      <c r="E77" s="73">
        <v>4649.395063621032</v>
      </c>
      <c r="F77" s="75">
        <v>0.49341294472262004</v>
      </c>
      <c r="G77" s="76">
        <v>0.17642805478033341</v>
      </c>
      <c r="H77" s="72" t="s">
        <v>126</v>
      </c>
      <c r="I77" s="72" t="s">
        <v>127</v>
      </c>
    </row>
    <row r="78" spans="1:9" ht="12.75" customHeight="1" x14ac:dyDescent="0.2">
      <c r="A78" s="71">
        <v>49</v>
      </c>
      <c r="B78" s="72" t="s">
        <v>122</v>
      </c>
      <c r="C78" s="73">
        <v>7.8074666666666666</v>
      </c>
      <c r="D78" s="74">
        <v>141.34382183587564</v>
      </c>
      <c r="E78" s="73">
        <v>2373.8080254484144</v>
      </c>
      <c r="F78" s="75">
        <v>0.11902659640269471</v>
      </c>
      <c r="G78" s="76">
        <v>9.0077596465987134E-2</v>
      </c>
      <c r="H78" s="72" t="s">
        <v>123</v>
      </c>
      <c r="I78" s="72" t="s">
        <v>124</v>
      </c>
    </row>
    <row r="79" spans="1:9" ht="12.75" customHeight="1" x14ac:dyDescent="0.2">
      <c r="A79" s="71">
        <v>51</v>
      </c>
      <c r="B79" s="72" t="s">
        <v>128</v>
      </c>
      <c r="C79" s="73">
        <v>8.0077333333333343</v>
      </c>
      <c r="D79" s="74">
        <v>35.416500000000511</v>
      </c>
      <c r="E79" s="73">
        <v>1085.0000000000052</v>
      </c>
      <c r="F79" s="75">
        <v>2.9824476208029957E-2</v>
      </c>
      <c r="G79" s="76">
        <v>4.1171902326488444E-2</v>
      </c>
      <c r="H79" s="72" t="s">
        <v>23</v>
      </c>
      <c r="I79" s="72" t="s">
        <v>129</v>
      </c>
    </row>
    <row r="80" spans="1:9" ht="12.75" customHeight="1" x14ac:dyDescent="0.2">
      <c r="A80" s="71">
        <v>52</v>
      </c>
      <c r="B80" s="72" t="s">
        <v>130</v>
      </c>
      <c r="C80" s="73">
        <v>8.122183333333334</v>
      </c>
      <c r="D80" s="74">
        <v>77.846188975299071</v>
      </c>
      <c r="E80" s="73">
        <v>2401.8364208318776</v>
      </c>
      <c r="F80" s="75">
        <v>6.5554806685572481E-2</v>
      </c>
      <c r="G80" s="76">
        <v>9.1141174675292341E-2</v>
      </c>
      <c r="H80" s="72" t="s">
        <v>23</v>
      </c>
      <c r="I80" s="72" t="s">
        <v>131</v>
      </c>
    </row>
    <row r="81" spans="1:9" ht="12.75" customHeight="1" x14ac:dyDescent="0.2">
      <c r="A81" s="71">
        <v>53</v>
      </c>
      <c r="B81" s="72" t="s">
        <v>132</v>
      </c>
      <c r="C81" s="73">
        <v>8.173683333333333</v>
      </c>
      <c r="D81" s="74">
        <v>45.486002691367489</v>
      </c>
      <c r="E81" s="73">
        <v>1816.9182104159381</v>
      </c>
      <c r="F81" s="75">
        <v>3.8304073103413848E-2</v>
      </c>
      <c r="G81" s="76">
        <v>6.8945602852039475E-2</v>
      </c>
      <c r="H81" s="72" t="s">
        <v>23</v>
      </c>
      <c r="I81" s="72" t="s">
        <v>133</v>
      </c>
    </row>
    <row r="82" spans="1:9" ht="12.75" customHeight="1" x14ac:dyDescent="0.2">
      <c r="A82" s="71">
        <v>54</v>
      </c>
      <c r="B82" s="72" t="s">
        <v>134</v>
      </c>
      <c r="C82" s="73">
        <v>8.259500000000001</v>
      </c>
      <c r="D82" s="74">
        <v>17.691691666667307</v>
      </c>
      <c r="E82" s="73">
        <v>721.78770226537131</v>
      </c>
      <c r="F82" s="75">
        <v>1.4898294218579288E-2</v>
      </c>
      <c r="G82" s="76">
        <v>2.738928366647949E-2</v>
      </c>
      <c r="H82" s="72" t="s">
        <v>23</v>
      </c>
      <c r="I82" s="72" t="s">
        <v>135</v>
      </c>
    </row>
    <row r="83" spans="1:9" ht="12.75" customHeight="1" x14ac:dyDescent="0.2">
      <c r="A83" s="71">
        <v>55</v>
      </c>
      <c r="B83" s="72" t="s">
        <v>136</v>
      </c>
      <c r="C83" s="73">
        <v>8.3682166666666671</v>
      </c>
      <c r="D83" s="74">
        <v>49.762891666667286</v>
      </c>
      <c r="E83" s="73">
        <v>1605.311650485439</v>
      </c>
      <c r="F83" s="75">
        <v>4.1905670480009857E-2</v>
      </c>
      <c r="G83" s="76">
        <v>6.0915884310931007E-2</v>
      </c>
      <c r="H83" s="72" t="s">
        <v>23</v>
      </c>
      <c r="I83" s="72" t="s">
        <v>129</v>
      </c>
    </row>
    <row r="84" spans="1:9" ht="12.75" customHeight="1" x14ac:dyDescent="0.2">
      <c r="A84" s="71">
        <v>56</v>
      </c>
      <c r="B84" s="72" t="s">
        <v>137</v>
      </c>
      <c r="C84" s="73">
        <v>8.4655000000000005</v>
      </c>
      <c r="D84" s="74">
        <v>60.189612057550001</v>
      </c>
      <c r="E84" s="73">
        <v>2081.6403919145569</v>
      </c>
      <c r="F84" s="75">
        <v>5.0686082836557171E-2</v>
      </c>
      <c r="G84" s="76">
        <v>7.8990870870763924E-2</v>
      </c>
      <c r="H84" s="72" t="s">
        <v>138</v>
      </c>
      <c r="I84" s="72" t="s">
        <v>139</v>
      </c>
    </row>
    <row r="85" spans="1:9" ht="12.75" customHeight="1" x14ac:dyDescent="0.2">
      <c r="A85" s="71">
        <v>57</v>
      </c>
      <c r="B85" s="72" t="s">
        <v>140</v>
      </c>
      <c r="C85" s="73">
        <v>8.5513333333333339</v>
      </c>
      <c r="D85" s="74">
        <v>290.13641294244496</v>
      </c>
      <c r="E85" s="73">
        <v>8800.7413717009458</v>
      </c>
      <c r="F85" s="75">
        <v>0.24432585221252748</v>
      </c>
      <c r="G85" s="76">
        <v>0.33395692548972861</v>
      </c>
      <c r="H85" s="72" t="s">
        <v>141</v>
      </c>
      <c r="I85" s="72" t="s">
        <v>142</v>
      </c>
    </row>
    <row r="86" spans="1:9" ht="12.75" customHeight="1" x14ac:dyDescent="0.2">
      <c r="A86" s="71">
        <v>58</v>
      </c>
      <c r="B86" s="72" t="s">
        <v>143</v>
      </c>
      <c r="C86" s="73">
        <v>8.6657666666666664</v>
      </c>
      <c r="D86" s="74">
        <v>9.5771249999997501</v>
      </c>
      <c r="E86" s="73">
        <v>333</v>
      </c>
      <c r="F86" s="75">
        <v>8.0649622832244094E-3</v>
      </c>
      <c r="G86" s="76">
        <v>1.2636169101124963E-2</v>
      </c>
      <c r="H86" s="72" t="s">
        <v>23</v>
      </c>
      <c r="I86" s="72" t="s">
        <v>144</v>
      </c>
    </row>
    <row r="87" spans="1:9" ht="12.75" customHeight="1" x14ac:dyDescent="0.2">
      <c r="A87" s="71">
        <v>59</v>
      </c>
      <c r="B87" s="72" t="s">
        <v>145</v>
      </c>
      <c r="C87" s="73">
        <v>8.7916500000000006</v>
      </c>
      <c r="D87" s="74">
        <v>106.30285833333262</v>
      </c>
      <c r="E87" s="73">
        <v>1863</v>
      </c>
      <c r="F87" s="75">
        <v>8.9518362040518176E-2</v>
      </c>
      <c r="G87" s="76">
        <v>7.0694243349536959E-2</v>
      </c>
      <c r="H87" s="72" t="s">
        <v>23</v>
      </c>
      <c r="I87" s="72" t="s">
        <v>146</v>
      </c>
    </row>
    <row r="88" spans="1:9" ht="12.75" customHeight="1" x14ac:dyDescent="0.2">
      <c r="A88" s="71">
        <v>61</v>
      </c>
      <c r="B88" s="72" t="s">
        <v>147</v>
      </c>
      <c r="C88" s="73">
        <v>9.0720333333333336</v>
      </c>
      <c r="D88" s="74">
        <v>88.817266666665915</v>
      </c>
      <c r="E88" s="73">
        <v>2933</v>
      </c>
      <c r="F88" s="75">
        <v>7.4793626037643224E-2</v>
      </c>
      <c r="G88" s="76">
        <v>0.11129694886966823</v>
      </c>
      <c r="H88" s="72" t="s">
        <v>148</v>
      </c>
      <c r="I88" s="72" t="s">
        <v>149</v>
      </c>
    </row>
    <row r="89" spans="1:9" ht="12.75" customHeight="1" x14ac:dyDescent="0.2">
      <c r="A89" s="71">
        <v>62</v>
      </c>
      <c r="B89" s="72" t="s">
        <v>150</v>
      </c>
      <c r="C89" s="73">
        <v>9.2665666666666677</v>
      </c>
      <c r="D89" s="74">
        <v>1.6545249999999925</v>
      </c>
      <c r="E89" s="73">
        <v>264.23203883490964</v>
      </c>
      <c r="F89" s="75">
        <v>1.3932867871780054E-3</v>
      </c>
      <c r="G89" s="76">
        <v>1.0026668842801612E-2</v>
      </c>
      <c r="H89" s="72" t="s">
        <v>23</v>
      </c>
      <c r="I89" s="72" t="s">
        <v>151</v>
      </c>
    </row>
    <row r="90" spans="1:9" ht="12.75" customHeight="1" x14ac:dyDescent="0.2">
      <c r="A90" s="71">
        <v>63</v>
      </c>
      <c r="B90" s="72" t="s">
        <v>152</v>
      </c>
      <c r="C90" s="73">
        <v>9.3180666666666667</v>
      </c>
      <c r="D90" s="74">
        <v>112.32034166666449</v>
      </c>
      <c r="E90" s="73">
        <v>3999.0781357093861</v>
      </c>
      <c r="F90" s="75">
        <v>9.4585725797726561E-2</v>
      </c>
      <c r="G90" s="76">
        <v>0.15175083354785396</v>
      </c>
      <c r="H90" s="72" t="s">
        <v>153</v>
      </c>
      <c r="I90" s="72" t="s">
        <v>154</v>
      </c>
    </row>
    <row r="91" spans="1:9" ht="12.75" customHeight="1" x14ac:dyDescent="0.2">
      <c r="A91" s="71">
        <v>64</v>
      </c>
      <c r="B91" s="72" t="s">
        <v>155</v>
      </c>
      <c r="C91" s="73">
        <v>9.5698333333333334</v>
      </c>
      <c r="D91" s="74">
        <v>99.851683333332204</v>
      </c>
      <c r="E91" s="73">
        <v>2231</v>
      </c>
      <c r="F91" s="75">
        <v>8.4085783572816764E-2</v>
      </c>
      <c r="G91" s="76">
        <v>8.465853833216154E-2</v>
      </c>
      <c r="H91" s="72" t="s">
        <v>156</v>
      </c>
      <c r="I91" s="72" t="s">
        <v>157</v>
      </c>
    </row>
    <row r="92" spans="1:9" ht="12.75" customHeight="1" x14ac:dyDescent="0.2">
      <c r="A92" s="71">
        <v>65</v>
      </c>
      <c r="B92" s="72" t="s">
        <v>158</v>
      </c>
      <c r="C92" s="73">
        <v>9.7300500000000003</v>
      </c>
      <c r="D92" s="74">
        <v>7899.9536416665696</v>
      </c>
      <c r="E92" s="73">
        <v>202080.65315533979</v>
      </c>
      <c r="F92" s="75">
        <v>6.6526048432346734</v>
      </c>
      <c r="G92" s="76">
        <v>7.6682441601701381</v>
      </c>
      <c r="H92" s="72" t="s">
        <v>159</v>
      </c>
      <c r="I92" s="72" t="s">
        <v>160</v>
      </c>
    </row>
    <row r="93" spans="1:9" ht="12.75" customHeight="1" x14ac:dyDescent="0.2">
      <c r="A93" s="71">
        <v>66</v>
      </c>
      <c r="B93" s="72" t="s">
        <v>161</v>
      </c>
      <c r="C93" s="73">
        <v>9.8731000000000009</v>
      </c>
      <c r="D93" s="74">
        <v>338.85641666667436</v>
      </c>
      <c r="E93" s="73">
        <v>11422.95849262696</v>
      </c>
      <c r="F93" s="75">
        <v>0.28535329964319933</v>
      </c>
      <c r="G93" s="76">
        <v>0.43346076621010748</v>
      </c>
      <c r="H93" s="72" t="s">
        <v>162</v>
      </c>
      <c r="I93" s="72" t="s">
        <v>163</v>
      </c>
    </row>
    <row r="94" spans="1:9" ht="12.75" customHeight="1" x14ac:dyDescent="0.2">
      <c r="A94" s="71">
        <v>67</v>
      </c>
      <c r="B94" s="72" t="s">
        <v>164</v>
      </c>
      <c r="C94" s="73">
        <v>9.9589333333333343</v>
      </c>
      <c r="D94" s="74">
        <v>5.2198000000000917</v>
      </c>
      <c r="E94" s="73">
        <v>856.33398058253533</v>
      </c>
      <c r="F94" s="75">
        <v>4.395629181615214E-3</v>
      </c>
      <c r="G94" s="76">
        <v>3.2494837794835967E-2</v>
      </c>
      <c r="H94" s="72" t="s">
        <v>23</v>
      </c>
      <c r="I94" s="72" t="s">
        <v>165</v>
      </c>
    </row>
    <row r="95" spans="1:9" ht="12.75" customHeight="1" x14ac:dyDescent="0.2">
      <c r="A95" s="71">
        <v>68</v>
      </c>
      <c r="B95" s="72" t="s">
        <v>166</v>
      </c>
      <c r="C95" s="73">
        <v>10.021866666666666</v>
      </c>
      <c r="D95" s="74">
        <v>100.44602500000127</v>
      </c>
      <c r="E95" s="73">
        <v>3790.8545821196371</v>
      </c>
      <c r="F95" s="75">
        <v>8.4586282744022606E-2</v>
      </c>
      <c r="G95" s="76">
        <v>0.14384948810041484</v>
      </c>
      <c r="H95" s="72" t="s">
        <v>167</v>
      </c>
      <c r="I95" s="72" t="s">
        <v>168</v>
      </c>
    </row>
    <row r="96" spans="1:9" ht="12.75" customHeight="1" x14ac:dyDescent="0.2">
      <c r="A96" s="71">
        <v>70</v>
      </c>
      <c r="B96" s="72" t="s">
        <v>169</v>
      </c>
      <c r="C96" s="73">
        <v>10.216416666666667</v>
      </c>
      <c r="D96" s="74">
        <v>8.7615000000002574</v>
      </c>
      <c r="E96" s="73">
        <v>494.26699029126701</v>
      </c>
      <c r="F96" s="75">
        <v>7.3781189077593325E-3</v>
      </c>
      <c r="G96" s="76">
        <v>1.8755679490764385E-2</v>
      </c>
      <c r="H96" s="72" t="s">
        <v>170</v>
      </c>
      <c r="I96" s="72" t="s">
        <v>171</v>
      </c>
    </row>
    <row r="97" spans="1:9" ht="12.75" customHeight="1" x14ac:dyDescent="0.2">
      <c r="A97" s="71">
        <v>71</v>
      </c>
      <c r="B97" s="72" t="s">
        <v>172</v>
      </c>
      <c r="C97" s="73">
        <v>10.256483333333334</v>
      </c>
      <c r="D97" s="74">
        <v>4.9450249999999372</v>
      </c>
      <c r="E97" s="73">
        <v>699</v>
      </c>
      <c r="F97" s="75">
        <v>4.1642392800138161E-3</v>
      </c>
      <c r="G97" s="76">
        <v>2.6524571176235284E-2</v>
      </c>
      <c r="H97" s="72" t="s">
        <v>173</v>
      </c>
      <c r="I97" s="72" t="s">
        <v>174</v>
      </c>
    </row>
    <row r="98" spans="1:9" ht="12.75" customHeight="1" x14ac:dyDescent="0.2">
      <c r="A98" s="71">
        <v>72</v>
      </c>
      <c r="B98" s="72" t="s">
        <v>175</v>
      </c>
      <c r="C98" s="73">
        <v>10.43385</v>
      </c>
      <c r="D98" s="74">
        <v>56.803716666666908</v>
      </c>
      <c r="E98" s="73">
        <v>1489</v>
      </c>
      <c r="F98" s="75">
        <v>4.7834797234414958E-2</v>
      </c>
      <c r="G98" s="76">
        <v>5.6502269644369586E-2</v>
      </c>
      <c r="H98" s="72" t="s">
        <v>23</v>
      </c>
      <c r="I98" s="72" t="s">
        <v>176</v>
      </c>
    </row>
    <row r="99" spans="1:9" ht="12.75" customHeight="1" x14ac:dyDescent="0.2">
      <c r="A99" s="71">
        <v>73</v>
      </c>
      <c r="B99" s="72" t="s">
        <v>177</v>
      </c>
      <c r="C99" s="73">
        <v>10.531133333333333</v>
      </c>
      <c r="D99" s="74">
        <v>9.120783333333895</v>
      </c>
      <c r="E99" s="73">
        <v>1060.8069919883608</v>
      </c>
      <c r="F99" s="75">
        <v>7.6806738532494458E-3</v>
      </c>
      <c r="G99" s="76">
        <v>4.0253863466728657E-2</v>
      </c>
      <c r="H99" s="72" t="s">
        <v>178</v>
      </c>
      <c r="I99" s="72" t="s">
        <v>179</v>
      </c>
    </row>
    <row r="100" spans="1:9" ht="12.75" customHeight="1" x14ac:dyDescent="0.2">
      <c r="A100" s="71">
        <v>74</v>
      </c>
      <c r="B100" s="72" t="s">
        <v>180</v>
      </c>
      <c r="C100" s="73">
        <v>10.594066666666667</v>
      </c>
      <c r="D100" s="74">
        <v>75.118508333332073</v>
      </c>
      <c r="E100" s="73">
        <v>2254.8518826711029</v>
      </c>
      <c r="F100" s="75">
        <v>6.3257808212842326E-2</v>
      </c>
      <c r="G100" s="76">
        <v>8.5563632694961089E-2</v>
      </c>
      <c r="H100" s="72" t="s">
        <v>181</v>
      </c>
      <c r="I100" s="72" t="s">
        <v>182</v>
      </c>
    </row>
    <row r="101" spans="1:9" ht="12.75" customHeight="1" x14ac:dyDescent="0.2">
      <c r="A101" s="71">
        <v>75</v>
      </c>
      <c r="B101" s="72" t="s">
        <v>183</v>
      </c>
      <c r="C101" s="73">
        <v>10.748566666666667</v>
      </c>
      <c r="D101" s="74">
        <v>1934.6479499999621</v>
      </c>
      <c r="E101" s="73">
        <v>77533.348526387927</v>
      </c>
      <c r="F101" s="75">
        <v>1.6291802339499093</v>
      </c>
      <c r="G101" s="76">
        <v>2.9421156244921796</v>
      </c>
      <c r="H101" s="72" t="s">
        <v>184</v>
      </c>
      <c r="I101" s="72" t="s">
        <v>185</v>
      </c>
    </row>
    <row r="102" spans="1:9" ht="12.75" customHeight="1" x14ac:dyDescent="0.2">
      <c r="A102" s="71">
        <v>77</v>
      </c>
      <c r="B102" s="72" t="s">
        <v>186</v>
      </c>
      <c r="C102" s="73">
        <v>11.051833333333333</v>
      </c>
      <c r="D102" s="74">
        <v>12268.909133333704</v>
      </c>
      <c r="E102" s="73">
        <v>495783.50000000006</v>
      </c>
      <c r="F102" s="75">
        <v>10.33173206120275</v>
      </c>
      <c r="G102" s="76">
        <v>18.813225656299068</v>
      </c>
      <c r="H102" s="72" t="s">
        <v>187</v>
      </c>
      <c r="I102" s="72" t="s">
        <v>185</v>
      </c>
    </row>
    <row r="103" spans="1:9" ht="12.75" customHeight="1" x14ac:dyDescent="0.2">
      <c r="A103" s="71">
        <v>78</v>
      </c>
      <c r="B103" s="72" t="s">
        <v>188</v>
      </c>
      <c r="C103" s="73">
        <v>11.114766666666666</v>
      </c>
      <c r="D103" s="74">
        <v>499.30226666669</v>
      </c>
      <c r="E103" s="73">
        <v>28644.7146185202</v>
      </c>
      <c r="F103" s="75">
        <v>0.42046584424818684</v>
      </c>
      <c r="G103" s="76">
        <v>1.0869653386579206</v>
      </c>
      <c r="H103" s="72" t="s">
        <v>189</v>
      </c>
      <c r="I103" s="72" t="s">
        <v>190</v>
      </c>
    </row>
    <row r="104" spans="1:9" ht="12.75" customHeight="1" x14ac:dyDescent="0.2">
      <c r="A104" s="71">
        <v>79</v>
      </c>
      <c r="B104" s="72" t="s">
        <v>191</v>
      </c>
      <c r="C104" s="73">
        <v>11.337933333333334</v>
      </c>
      <c r="D104" s="74">
        <v>317.67099166666418</v>
      </c>
      <c r="E104" s="73">
        <v>9520.3683304647166</v>
      </c>
      <c r="F104" s="75">
        <v>0.26751290875562445</v>
      </c>
      <c r="G104" s="76">
        <v>0.36126421660284358</v>
      </c>
      <c r="H104" s="72" t="s">
        <v>192</v>
      </c>
      <c r="I104" s="72" t="s">
        <v>193</v>
      </c>
    </row>
    <row r="105" spans="1:9" ht="12.75" customHeight="1" x14ac:dyDescent="0.2">
      <c r="A105" s="71">
        <v>80</v>
      </c>
      <c r="B105" s="72" t="s">
        <v>194</v>
      </c>
      <c r="C105" s="73">
        <v>11.578250000000001</v>
      </c>
      <c r="D105" s="74">
        <v>69.862416666665666</v>
      </c>
      <c r="E105" s="73">
        <v>1477.5</v>
      </c>
      <c r="F105" s="75">
        <v>5.8831617571200305E-2</v>
      </c>
      <c r="G105" s="76">
        <v>5.6065885426162566E-2</v>
      </c>
      <c r="H105" s="72" t="s">
        <v>23</v>
      </c>
      <c r="I105" s="72" t="s">
        <v>195</v>
      </c>
    </row>
    <row r="106" spans="1:9" ht="12.75" customHeight="1" x14ac:dyDescent="0.2">
      <c r="A106" s="71">
        <v>81</v>
      </c>
      <c r="B106" s="72" t="s">
        <v>196</v>
      </c>
      <c r="C106" s="73">
        <v>11.698416666666667</v>
      </c>
      <c r="D106" s="74">
        <v>450.61193333332778</v>
      </c>
      <c r="E106" s="73">
        <v>16244.558884727425</v>
      </c>
      <c r="F106" s="75">
        <v>0.37946338245603095</v>
      </c>
      <c r="G106" s="76">
        <v>0.61642340252431738</v>
      </c>
      <c r="H106" s="72" t="s">
        <v>197</v>
      </c>
      <c r="I106" s="72" t="s">
        <v>198</v>
      </c>
    </row>
    <row r="107" spans="1:9" ht="12.75" customHeight="1" x14ac:dyDescent="0.2">
      <c r="A107" s="71">
        <v>82</v>
      </c>
      <c r="B107" s="72" t="s">
        <v>199</v>
      </c>
      <c r="C107" s="73">
        <v>12.030283333333333</v>
      </c>
      <c r="D107" s="74">
        <v>57511.925899999849</v>
      </c>
      <c r="E107" s="73">
        <v>643730.25555625919</v>
      </c>
      <c r="F107" s="75">
        <v>48.43118506014153</v>
      </c>
      <c r="G107" s="76">
        <v>24.427280374532369</v>
      </c>
      <c r="H107" s="72" t="s">
        <v>200</v>
      </c>
      <c r="I107" s="72" t="s">
        <v>201</v>
      </c>
    </row>
    <row r="108" spans="1:9" ht="12.75" customHeight="1" x14ac:dyDescent="0.2">
      <c r="A108" s="71">
        <v>83</v>
      </c>
      <c r="B108" s="72" t="s">
        <v>199</v>
      </c>
      <c r="C108" s="73">
        <v>12.17905</v>
      </c>
      <c r="D108" s="74">
        <v>606.08095833333005</v>
      </c>
      <c r="E108" s="73">
        <v>12100.141886269066</v>
      </c>
      <c r="F108" s="75">
        <v>0.5103849087841017</v>
      </c>
      <c r="G108" s="76">
        <v>0.45915747454204536</v>
      </c>
      <c r="H108" s="72" t="s">
        <v>200</v>
      </c>
      <c r="I108" s="72" t="s">
        <v>201</v>
      </c>
    </row>
    <row r="109" spans="1:9" ht="12.75" customHeight="1" x14ac:dyDescent="0.2">
      <c r="A109" s="71">
        <v>84</v>
      </c>
      <c r="B109" s="72" t="s">
        <v>202</v>
      </c>
      <c r="C109" s="73">
        <v>12.350716666666667</v>
      </c>
      <c r="D109" s="74">
        <v>52.823708333332945</v>
      </c>
      <c r="E109" s="73">
        <v>1659.5366345507509</v>
      </c>
      <c r="F109" s="75">
        <v>4.4483205071291047E-2</v>
      </c>
      <c r="G109" s="76">
        <v>6.2973530161246571E-2</v>
      </c>
      <c r="H109" s="72" t="s">
        <v>23</v>
      </c>
      <c r="I109" s="72" t="s">
        <v>203</v>
      </c>
    </row>
    <row r="110" spans="1:9" ht="12.75" customHeight="1" x14ac:dyDescent="0.2">
      <c r="A110" s="71">
        <v>85</v>
      </c>
      <c r="B110" s="72" t="s">
        <v>204</v>
      </c>
      <c r="C110" s="73">
        <v>12.447983333333333</v>
      </c>
      <c r="D110" s="74">
        <v>142.5365499999975</v>
      </c>
      <c r="E110" s="73">
        <v>5899.1672908863857</v>
      </c>
      <c r="F110" s="75">
        <v>0.12003100092469714</v>
      </c>
      <c r="G110" s="76">
        <v>0.22385247880920603</v>
      </c>
      <c r="H110" s="72" t="s">
        <v>205</v>
      </c>
      <c r="I110" s="72" t="s">
        <v>206</v>
      </c>
    </row>
    <row r="111" spans="1:9" ht="12.75" customHeight="1" x14ac:dyDescent="0.2">
      <c r="A111" s="71">
        <v>86</v>
      </c>
      <c r="B111" s="72" t="s">
        <v>207</v>
      </c>
      <c r="C111" s="73">
        <v>12.533816666666667</v>
      </c>
      <c r="D111" s="74">
        <v>84.827799999998433</v>
      </c>
      <c r="E111" s="73">
        <v>3991.9800249687946</v>
      </c>
      <c r="F111" s="75">
        <v>7.1434068947508644E-2</v>
      </c>
      <c r="G111" s="76">
        <v>0.15148148541687312</v>
      </c>
      <c r="H111" s="72" t="s">
        <v>208</v>
      </c>
      <c r="I111" s="72" t="s">
        <v>190</v>
      </c>
    </row>
    <row r="112" spans="1:9" ht="12.75" customHeight="1" x14ac:dyDescent="0.2">
      <c r="A112" s="71">
        <v>87</v>
      </c>
      <c r="B112" s="72" t="s">
        <v>209</v>
      </c>
      <c r="C112" s="73">
        <v>12.585316666666667</v>
      </c>
      <c r="D112" s="74">
        <v>4.3764000000000749</v>
      </c>
      <c r="E112" s="73">
        <v>647.79320388351061</v>
      </c>
      <c r="F112" s="75">
        <v>3.6853962892104712E-3</v>
      </c>
      <c r="G112" s="76">
        <v>2.4581454855350033E-2</v>
      </c>
      <c r="H112" s="72" t="s">
        <v>23</v>
      </c>
      <c r="I112" s="72" t="s">
        <v>210</v>
      </c>
    </row>
    <row r="113" spans="1:9" ht="12.75" customHeight="1" x14ac:dyDescent="0.2">
      <c r="A113" s="71">
        <v>88</v>
      </c>
      <c r="B113" s="72" t="s">
        <v>211</v>
      </c>
      <c r="C113" s="73">
        <v>12.7112</v>
      </c>
      <c r="D113" s="74">
        <v>150.8259666666668</v>
      </c>
      <c r="E113" s="73">
        <v>4955.6666666666679</v>
      </c>
      <c r="F113" s="75">
        <v>0.12701157523761689</v>
      </c>
      <c r="G113" s="76">
        <v>0.18804997600242732</v>
      </c>
      <c r="H113" s="72" t="s">
        <v>212</v>
      </c>
      <c r="I113" s="72" t="s">
        <v>213</v>
      </c>
    </row>
    <row r="114" spans="1:9" ht="12.75" customHeight="1" x14ac:dyDescent="0.2">
      <c r="A114" s="71">
        <v>89</v>
      </c>
      <c r="B114" s="72" t="s">
        <v>214</v>
      </c>
      <c r="C114" s="73">
        <v>12.791316666666667</v>
      </c>
      <c r="D114" s="74">
        <v>229.58669166666647</v>
      </c>
      <c r="E114" s="73">
        <v>8408.1507373020213</v>
      </c>
      <c r="F114" s="75">
        <v>0.19333651894717732</v>
      </c>
      <c r="G114" s="76">
        <v>0.31905950313602671</v>
      </c>
      <c r="H114" s="72" t="s">
        <v>215</v>
      </c>
      <c r="I114" s="72" t="s">
        <v>216</v>
      </c>
    </row>
    <row r="115" spans="1:9" ht="12.75" customHeight="1" x14ac:dyDescent="0.2">
      <c r="A115" s="71">
        <v>90</v>
      </c>
      <c r="B115" s="72" t="s">
        <v>217</v>
      </c>
      <c r="C115" s="73">
        <v>12.9458</v>
      </c>
      <c r="D115" s="74">
        <v>406.58220833332945</v>
      </c>
      <c r="E115" s="73">
        <v>12038.857142857143</v>
      </c>
      <c r="F115" s="75">
        <v>0.34238565072905253</v>
      </c>
      <c r="G115" s="76">
        <v>0.45683193586014714</v>
      </c>
      <c r="H115" s="72" t="s">
        <v>218</v>
      </c>
      <c r="I115" s="72" t="s">
        <v>213</v>
      </c>
    </row>
    <row r="116" spans="1:9" ht="12.75" customHeight="1" x14ac:dyDescent="0.2">
      <c r="A116" s="71">
        <v>91</v>
      </c>
      <c r="B116" s="72" t="s">
        <v>219</v>
      </c>
      <c r="C116" s="73">
        <v>13.031633333333334</v>
      </c>
      <c r="D116" s="74">
        <v>171.23869999999766</v>
      </c>
      <c r="E116" s="73">
        <v>6526.1429531705162</v>
      </c>
      <c r="F116" s="75">
        <v>0.14420127720254219</v>
      </c>
      <c r="G116" s="76">
        <v>0.247643981784918</v>
      </c>
      <c r="H116" s="72" t="s">
        <v>220</v>
      </c>
      <c r="I116" s="72" t="s">
        <v>221</v>
      </c>
    </row>
    <row r="117" spans="1:9" ht="12.75" customHeight="1" x14ac:dyDescent="0.2">
      <c r="A117" s="71">
        <v>92</v>
      </c>
      <c r="B117" s="72" t="s">
        <v>222</v>
      </c>
      <c r="C117" s="73">
        <v>13.088850000000001</v>
      </c>
      <c r="D117" s="74">
        <v>1.9923000000000002</v>
      </c>
      <c r="E117" s="73">
        <v>0</v>
      </c>
      <c r="F117" s="75">
        <v>1.6777294184704087E-3</v>
      </c>
      <c r="G117" s="76">
        <v>0</v>
      </c>
      <c r="H117" s="72" t="s">
        <v>223</v>
      </c>
      <c r="I117" s="72" t="s">
        <v>224</v>
      </c>
    </row>
    <row r="118" spans="1:9" ht="12.75" customHeight="1" x14ac:dyDescent="0.2">
      <c r="A118" s="71">
        <v>94</v>
      </c>
      <c r="B118" s="72" t="s">
        <v>225</v>
      </c>
      <c r="C118" s="73">
        <v>13.306283333333333</v>
      </c>
      <c r="D118" s="74">
        <v>111.80293740239554</v>
      </c>
      <c r="E118" s="73">
        <v>2876.6048064085476</v>
      </c>
      <c r="F118" s="75">
        <v>9.4150016137832943E-2</v>
      </c>
      <c r="G118" s="76">
        <v>0.10915695126392566</v>
      </c>
      <c r="H118" s="72" t="s">
        <v>23</v>
      </c>
      <c r="I118" s="72" t="s">
        <v>226</v>
      </c>
    </row>
    <row r="119" spans="1:9" ht="12.75" customHeight="1" x14ac:dyDescent="0.2">
      <c r="A119" s="71">
        <v>95</v>
      </c>
      <c r="B119" s="72" t="s">
        <v>227</v>
      </c>
      <c r="C119" s="73">
        <v>13.357783333333334</v>
      </c>
      <c r="D119" s="74">
        <v>72.381837597604232</v>
      </c>
      <c r="E119" s="73">
        <v>2070.8372375288272</v>
      </c>
      <c r="F119" s="75">
        <v>6.0953239120839289E-2</v>
      </c>
      <c r="G119" s="76">
        <v>7.8580929472434669E-2</v>
      </c>
      <c r="H119" s="72" t="s">
        <v>228</v>
      </c>
      <c r="I119" s="72" t="s">
        <v>229</v>
      </c>
    </row>
    <row r="120" spans="1:9" ht="12.75" customHeight="1" x14ac:dyDescent="0.2">
      <c r="A120" s="71">
        <v>96</v>
      </c>
      <c r="B120" s="72" t="s">
        <v>230</v>
      </c>
      <c r="C120" s="73">
        <v>13.489383333333334</v>
      </c>
      <c r="D120" s="74">
        <v>102.68211666666888</v>
      </c>
      <c r="E120" s="73">
        <v>3444.7466019417479</v>
      </c>
      <c r="F120" s="75">
        <v>8.6469310787773437E-2</v>
      </c>
      <c r="G120" s="76">
        <v>0.13071591763562021</v>
      </c>
      <c r="H120" s="72" t="s">
        <v>231</v>
      </c>
      <c r="I120" s="72" t="s">
        <v>232</v>
      </c>
    </row>
    <row r="121" spans="1:9" ht="12.75" customHeight="1" x14ac:dyDescent="0.2">
      <c r="A121" s="71">
        <v>97</v>
      </c>
      <c r="B121" s="72" t="s">
        <v>233</v>
      </c>
      <c r="C121" s="73">
        <v>13.598100000000001</v>
      </c>
      <c r="D121" s="74">
        <v>658.61853333332419</v>
      </c>
      <c r="E121" s="73">
        <v>17741.724770642199</v>
      </c>
      <c r="F121" s="75">
        <v>0.55462715902381743</v>
      </c>
      <c r="G121" s="76">
        <v>0.67323553858093788</v>
      </c>
      <c r="H121" s="72" t="s">
        <v>23</v>
      </c>
      <c r="I121" s="72" t="s">
        <v>234</v>
      </c>
    </row>
    <row r="122" spans="1:9" ht="12.75" customHeight="1" x14ac:dyDescent="0.2">
      <c r="A122" s="71">
        <v>98</v>
      </c>
      <c r="B122" s="72" t="s">
        <v>235</v>
      </c>
      <c r="C122" s="73">
        <v>13.8041</v>
      </c>
      <c r="D122" s="74">
        <v>1562.3756916666432</v>
      </c>
      <c r="E122" s="73">
        <v>55514.876055927773</v>
      </c>
      <c r="F122" s="75">
        <v>1.3156872261266777</v>
      </c>
      <c r="G122" s="76">
        <v>2.106592677089179</v>
      </c>
      <c r="H122" s="72" t="s">
        <v>236</v>
      </c>
      <c r="I122" s="72" t="s">
        <v>237</v>
      </c>
    </row>
    <row r="123" spans="1:9" ht="12.75" customHeight="1" x14ac:dyDescent="0.2">
      <c r="A123" s="71">
        <v>99</v>
      </c>
      <c r="B123" s="72" t="s">
        <v>238</v>
      </c>
      <c r="C123" s="73">
        <v>13.952866666666667</v>
      </c>
      <c r="D123" s="74">
        <v>63.933983333332932</v>
      </c>
      <c r="E123" s="73">
        <v>1637.4264614104429</v>
      </c>
      <c r="F123" s="75">
        <v>5.3839243426356202E-2</v>
      </c>
      <c r="G123" s="76">
        <v>6.2134527498615699E-2</v>
      </c>
      <c r="H123" s="72" t="s">
        <v>23</v>
      </c>
      <c r="I123" s="72" t="s">
        <v>239</v>
      </c>
    </row>
    <row r="124" spans="1:9" ht="12.75" customHeight="1" x14ac:dyDescent="0.2">
      <c r="A124" s="71">
        <v>101</v>
      </c>
      <c r="B124" s="72" t="s">
        <v>240</v>
      </c>
      <c r="C124" s="73">
        <v>14.170300000000001</v>
      </c>
      <c r="D124" s="74">
        <v>425.71838333333778</v>
      </c>
      <c r="E124" s="73">
        <v>9886.6658511010137</v>
      </c>
      <c r="F124" s="75">
        <v>0.35850035421472831</v>
      </c>
      <c r="G124" s="76">
        <v>0.37516390853102094</v>
      </c>
      <c r="H124" s="72" t="s">
        <v>241</v>
      </c>
      <c r="I124" s="72" t="s">
        <v>213</v>
      </c>
    </row>
    <row r="125" spans="1:9" ht="12.75" customHeight="1" x14ac:dyDescent="0.2">
      <c r="A125" s="71">
        <v>104</v>
      </c>
      <c r="B125" s="72" t="s">
        <v>242</v>
      </c>
      <c r="C125" s="73">
        <v>14.502183333333333</v>
      </c>
      <c r="D125" s="74">
        <v>1205.5135333333631</v>
      </c>
      <c r="E125" s="73">
        <v>43612.779201864265</v>
      </c>
      <c r="F125" s="75">
        <v>1.0151711686179745</v>
      </c>
      <c r="G125" s="76">
        <v>1.6549503092035516</v>
      </c>
      <c r="H125" s="72" t="s">
        <v>243</v>
      </c>
      <c r="I125" s="72" t="s">
        <v>244</v>
      </c>
    </row>
    <row r="126" spans="1:9" ht="12.75" customHeight="1" x14ac:dyDescent="0.2">
      <c r="A126" s="71">
        <v>107</v>
      </c>
      <c r="B126" s="72" t="s">
        <v>245</v>
      </c>
      <c r="C126" s="73">
        <v>14.788283333333334</v>
      </c>
      <c r="D126" s="74">
        <v>184.87362499999713</v>
      </c>
      <c r="E126" s="73">
        <v>7118.1510194936127</v>
      </c>
      <c r="F126" s="75">
        <v>0.15568334054196736</v>
      </c>
      <c r="G126" s="76">
        <v>0.27010858849749653</v>
      </c>
      <c r="H126" s="72" t="s">
        <v>23</v>
      </c>
      <c r="I126" s="72" t="s">
        <v>246</v>
      </c>
    </row>
    <row r="127" spans="1:9" ht="12.75" customHeight="1" x14ac:dyDescent="0.2">
      <c r="A127" s="71">
        <v>109</v>
      </c>
      <c r="B127" s="72" t="s">
        <v>247</v>
      </c>
      <c r="C127" s="73">
        <v>15.011433333333335</v>
      </c>
      <c r="D127" s="74">
        <v>0.98574166666703888</v>
      </c>
      <c r="E127" s="73">
        <v>492.51165048541543</v>
      </c>
      <c r="F127" s="75">
        <v>8.3009978074554162E-4</v>
      </c>
      <c r="G127" s="76">
        <v>1.8689070569993589E-2</v>
      </c>
      <c r="H127" s="72" t="s">
        <v>23</v>
      </c>
      <c r="I127" s="72" t="s">
        <v>248</v>
      </c>
    </row>
    <row r="128" spans="1:9" ht="12.75" customHeight="1" x14ac:dyDescent="0.2">
      <c r="A128" s="71">
        <v>111</v>
      </c>
      <c r="B128" s="72" t="s">
        <v>249</v>
      </c>
      <c r="C128" s="73">
        <v>15.205983333333334</v>
      </c>
      <c r="D128" s="74">
        <v>0.81748333333329271</v>
      </c>
      <c r="E128" s="73">
        <v>81.666666666666515</v>
      </c>
      <c r="F128" s="75">
        <v>6.8840829064022299E-4</v>
      </c>
      <c r="G128" s="76">
        <v>3.0989603901657764E-3</v>
      </c>
      <c r="H128" s="72" t="s">
        <v>23</v>
      </c>
      <c r="I128" s="72" t="s">
        <v>250</v>
      </c>
    </row>
    <row r="129" spans="1:9" ht="12.75" customHeight="1" x14ac:dyDescent="0.2">
      <c r="A129" s="71">
        <v>112</v>
      </c>
      <c r="B129" s="72" t="s">
        <v>251</v>
      </c>
      <c r="C129" s="73">
        <v>15.30325</v>
      </c>
      <c r="D129" s="74">
        <v>5.3331083333334206</v>
      </c>
      <c r="E129" s="73">
        <v>848.11262135923789</v>
      </c>
      <c r="F129" s="75">
        <v>4.4910469019340312E-3</v>
      </c>
      <c r="G129" s="76">
        <v>3.218286636724834E-2</v>
      </c>
      <c r="H129" s="72" t="s">
        <v>23</v>
      </c>
      <c r="I129" s="72" t="s">
        <v>252</v>
      </c>
    </row>
    <row r="130" spans="1:9" ht="12.75" customHeight="1" x14ac:dyDescent="0.2">
      <c r="A130" s="71">
        <v>113</v>
      </c>
      <c r="B130" s="72" t="s">
        <v>253</v>
      </c>
      <c r="C130" s="73">
        <v>15.349033333333333</v>
      </c>
      <c r="D130" s="74">
        <v>28.040850000000503</v>
      </c>
      <c r="E130" s="73">
        <v>1071.2120427322798</v>
      </c>
      <c r="F130" s="75">
        <v>2.3613391037452594E-2</v>
      </c>
      <c r="G130" s="76">
        <v>4.0648698243623389E-2</v>
      </c>
      <c r="H130" s="72" t="s">
        <v>23</v>
      </c>
      <c r="I130" s="72" t="s">
        <v>254</v>
      </c>
    </row>
    <row r="131" spans="1:9" ht="12.75" customHeight="1" x14ac:dyDescent="0.2">
      <c r="A131" s="71">
        <v>114</v>
      </c>
      <c r="B131" s="72" t="s">
        <v>255</v>
      </c>
      <c r="C131" s="73">
        <v>15.3948</v>
      </c>
      <c r="D131" s="74">
        <v>15.012691666666484</v>
      </c>
      <c r="E131" s="73">
        <v>998.02679091438631</v>
      </c>
      <c r="F131" s="75">
        <v>1.2642290046474882E-2</v>
      </c>
      <c r="G131" s="76">
        <v>3.7871577469811631E-2</v>
      </c>
      <c r="H131" s="72" t="s">
        <v>23</v>
      </c>
      <c r="I131" s="72" t="s">
        <v>256</v>
      </c>
    </row>
    <row r="132" spans="1:9" ht="12.75" customHeight="1" x14ac:dyDescent="0.2">
      <c r="A132" s="71">
        <v>115</v>
      </c>
      <c r="B132" s="72" t="s">
        <v>253</v>
      </c>
      <c r="C132" s="73">
        <v>15.480633333333333</v>
      </c>
      <c r="D132" s="74">
        <v>85.313461551957801</v>
      </c>
      <c r="E132" s="73">
        <v>3263.3009320905467</v>
      </c>
      <c r="F132" s="75">
        <v>7.1843047852865397E-2</v>
      </c>
      <c r="G132" s="76">
        <v>0.12383069791517977</v>
      </c>
      <c r="H132" s="72" t="s">
        <v>23</v>
      </c>
      <c r="I132" s="72" t="s">
        <v>254</v>
      </c>
    </row>
    <row r="133" spans="1:9" ht="12.75" customHeight="1" x14ac:dyDescent="0.2">
      <c r="A133" s="71">
        <v>116</v>
      </c>
      <c r="B133" s="72" t="s">
        <v>257</v>
      </c>
      <c r="C133" s="73">
        <v>15.560750000000001</v>
      </c>
      <c r="D133" s="74">
        <v>378.06003844804326</v>
      </c>
      <c r="E133" s="73">
        <v>6706.8434587217052</v>
      </c>
      <c r="F133" s="75">
        <v>0.31836693693336143</v>
      </c>
      <c r="G133" s="76">
        <v>0.25450092516270661</v>
      </c>
      <c r="H133" s="72" t="s">
        <v>258</v>
      </c>
      <c r="I133" s="72" t="s">
        <v>106</v>
      </c>
    </row>
    <row r="134" spans="1:9" ht="12.75" customHeight="1" x14ac:dyDescent="0.2">
      <c r="A134" s="71">
        <v>118</v>
      </c>
      <c r="B134" s="72" t="s">
        <v>259</v>
      </c>
      <c r="C134" s="73">
        <v>15.772450000000001</v>
      </c>
      <c r="D134" s="74">
        <v>9570.4684083335997</v>
      </c>
      <c r="E134" s="73">
        <v>380298.42857142852</v>
      </c>
      <c r="F134" s="75">
        <v>8.0593567219811018</v>
      </c>
      <c r="G134" s="76">
        <v>14.430976733695688</v>
      </c>
      <c r="H134" s="72" t="s">
        <v>260</v>
      </c>
      <c r="I134" s="72" t="s">
        <v>261</v>
      </c>
    </row>
    <row r="135" spans="1:9" ht="12.75" customHeight="1" x14ac:dyDescent="0.2">
      <c r="A135" s="71">
        <v>121</v>
      </c>
      <c r="B135" s="72" t="s">
        <v>262</v>
      </c>
      <c r="C135" s="73">
        <v>16.184433333333335</v>
      </c>
      <c r="D135" s="74">
        <v>110.14237098315905</v>
      </c>
      <c r="E135" s="73">
        <v>4207.7712557410059</v>
      </c>
      <c r="F135" s="75">
        <v>9.2751641830310413E-2</v>
      </c>
      <c r="G135" s="76">
        <v>0.15966999737656543</v>
      </c>
      <c r="H135" s="72" t="s">
        <v>263</v>
      </c>
      <c r="I135" s="72" t="s">
        <v>264</v>
      </c>
    </row>
    <row r="136" spans="1:9" ht="12.75" customHeight="1" x14ac:dyDescent="0.2">
      <c r="A136" s="71">
        <v>122</v>
      </c>
      <c r="B136" s="72" t="s">
        <v>265</v>
      </c>
      <c r="C136" s="73">
        <v>16.281716666666668</v>
      </c>
      <c r="D136" s="74">
        <v>565.34494568350397</v>
      </c>
      <c r="E136" s="73">
        <v>15499.457488517975</v>
      </c>
      <c r="F136" s="75">
        <v>0.47608083469194895</v>
      </c>
      <c r="G136" s="76">
        <v>0.58814944684868098</v>
      </c>
      <c r="H136" s="72" t="s">
        <v>266</v>
      </c>
      <c r="I136" s="72" t="s">
        <v>267</v>
      </c>
    </row>
    <row r="137" spans="1:9" ht="12.75" customHeight="1" x14ac:dyDescent="0.2">
      <c r="A137" s="71">
        <v>123</v>
      </c>
      <c r="B137" s="72" t="s">
        <v>253</v>
      </c>
      <c r="C137" s="73">
        <v>16.361816666666666</v>
      </c>
      <c r="D137" s="74">
        <v>51.28629166666542</v>
      </c>
      <c r="E137" s="73">
        <v>1597.1236245954524</v>
      </c>
      <c r="F137" s="75">
        <v>4.3188536010349013E-2</v>
      </c>
      <c r="G137" s="76">
        <v>6.0605177765134417E-2</v>
      </c>
      <c r="H137" s="72" t="s">
        <v>23</v>
      </c>
      <c r="I137" s="72" t="s">
        <v>254</v>
      </c>
    </row>
    <row r="138" spans="1:9" ht="12.75" customHeight="1" x14ac:dyDescent="0.2">
      <c r="A138" s="71">
        <v>125</v>
      </c>
      <c r="B138" s="72" t="s">
        <v>268</v>
      </c>
      <c r="C138" s="73">
        <v>16.659366666666667</v>
      </c>
      <c r="D138" s="74">
        <v>1687.6266813601683</v>
      </c>
      <c r="E138" s="73">
        <v>30898.818605484841</v>
      </c>
      <c r="F138" s="75">
        <v>1.421161938821232</v>
      </c>
      <c r="G138" s="76">
        <v>1.1725005913630411</v>
      </c>
      <c r="H138" s="72" t="s">
        <v>269</v>
      </c>
      <c r="I138" s="72" t="s">
        <v>270</v>
      </c>
    </row>
    <row r="139" spans="1:9" ht="12.75" customHeight="1" x14ac:dyDescent="0.2">
      <c r="A139" s="71">
        <v>126</v>
      </c>
      <c r="B139" s="72" t="s">
        <v>255</v>
      </c>
      <c r="C139" s="73">
        <v>16.745183333333333</v>
      </c>
      <c r="D139" s="74">
        <v>53.499758333335819</v>
      </c>
      <c r="E139" s="73">
        <v>2508.4681884409893</v>
      </c>
      <c r="F139" s="75">
        <v>4.505251138728851E-2</v>
      </c>
      <c r="G139" s="76">
        <v>9.5187472113912736E-2</v>
      </c>
      <c r="H139" s="72" t="s">
        <v>23</v>
      </c>
      <c r="I139" s="72" t="s">
        <v>256</v>
      </c>
    </row>
    <row r="140" spans="1:9" ht="12.75" customHeight="1" x14ac:dyDescent="0.2">
      <c r="A140" s="71">
        <v>127</v>
      </c>
      <c r="B140" s="72" t="s">
        <v>271</v>
      </c>
      <c r="C140" s="73">
        <v>16.842466666666667</v>
      </c>
      <c r="D140" s="74">
        <v>492.02582524032152</v>
      </c>
      <c r="E140" s="73">
        <v>15955.711622487614</v>
      </c>
      <c r="F140" s="75">
        <v>0.41433830329411608</v>
      </c>
      <c r="G140" s="76">
        <v>0.60546267324486025</v>
      </c>
      <c r="H140" s="72" t="s">
        <v>272</v>
      </c>
      <c r="I140" s="72" t="s">
        <v>273</v>
      </c>
    </row>
    <row r="141" spans="1:9" ht="12.75" customHeight="1" x14ac:dyDescent="0.2">
      <c r="A141" s="71">
        <v>128</v>
      </c>
      <c r="B141" s="72" t="s">
        <v>274</v>
      </c>
      <c r="C141" s="73">
        <v>16.934016666666668</v>
      </c>
      <c r="D141" s="74">
        <v>272.52213309301544</v>
      </c>
      <c r="E141" s="73">
        <v>8330.288377512361</v>
      </c>
      <c r="F141" s="75">
        <v>0.22949274701323097</v>
      </c>
      <c r="G141" s="76">
        <v>0.31610490270084712</v>
      </c>
      <c r="H141" s="72" t="s">
        <v>275</v>
      </c>
      <c r="I141" s="72" t="s">
        <v>276</v>
      </c>
    </row>
    <row r="142" spans="1:9" ht="12.75" customHeight="1" x14ac:dyDescent="0.2">
      <c r="A142" s="71">
        <v>129</v>
      </c>
      <c r="B142" s="72" t="s">
        <v>253</v>
      </c>
      <c r="C142" s="73">
        <v>17.008400000000002</v>
      </c>
      <c r="D142" s="74">
        <v>285.69943333333106</v>
      </c>
      <c r="E142" s="73">
        <v>8148.47638859992</v>
      </c>
      <c r="F142" s="75">
        <v>0.2405894414212994</v>
      </c>
      <c r="G142" s="76">
        <v>0.30920578247108904</v>
      </c>
      <c r="H142" s="72" t="s">
        <v>23</v>
      </c>
      <c r="I142" s="72" t="s">
        <v>254</v>
      </c>
    </row>
    <row r="143" spans="1:9" ht="12.75" customHeight="1" x14ac:dyDescent="0.2">
      <c r="A143" s="71">
        <v>130</v>
      </c>
      <c r="B143" s="72" t="s">
        <v>277</v>
      </c>
      <c r="C143" s="73">
        <v>17.122833333333332</v>
      </c>
      <c r="D143" s="74">
        <v>444.65342203774594</v>
      </c>
      <c r="E143" s="73">
        <v>9290.7357567284453</v>
      </c>
      <c r="F143" s="75">
        <v>0.37444567945403034</v>
      </c>
      <c r="G143" s="76">
        <v>0.35255047476242896</v>
      </c>
      <c r="H143" s="72" t="s">
        <v>23</v>
      </c>
      <c r="I143" s="72" t="s">
        <v>278</v>
      </c>
    </row>
    <row r="144" spans="1:9" ht="12.75" customHeight="1" x14ac:dyDescent="0.2">
      <c r="A144" s="71">
        <v>131</v>
      </c>
      <c r="B144" s="72" t="s">
        <v>255</v>
      </c>
      <c r="C144" s="73">
        <v>17.174333333333333</v>
      </c>
      <c r="D144" s="74">
        <v>190.99240296225196</v>
      </c>
      <c r="E144" s="73">
        <v>6673.7735057672162</v>
      </c>
      <c r="F144" s="75">
        <v>0.16083600519707117</v>
      </c>
      <c r="G144" s="76">
        <v>0.25324603772216853</v>
      </c>
      <c r="H144" s="72" t="s">
        <v>23</v>
      </c>
      <c r="I144" s="72" t="s">
        <v>256</v>
      </c>
    </row>
    <row r="145" spans="1:9" ht="12.75" customHeight="1" x14ac:dyDescent="0.2">
      <c r="A145" s="71">
        <v>132</v>
      </c>
      <c r="B145" s="72" t="s">
        <v>277</v>
      </c>
      <c r="C145" s="73">
        <v>17.254450000000002</v>
      </c>
      <c r="D145" s="74">
        <v>227.74757499999782</v>
      </c>
      <c r="E145" s="73">
        <v>5110.7112544206357</v>
      </c>
      <c r="F145" s="75">
        <v>0.19178778625849124</v>
      </c>
      <c r="G145" s="76">
        <v>0.19393336828192684</v>
      </c>
      <c r="H145" s="72" t="s">
        <v>23</v>
      </c>
      <c r="I145" s="72" t="s">
        <v>278</v>
      </c>
    </row>
    <row r="146" spans="1:9" ht="12.75" customHeight="1" x14ac:dyDescent="0.2">
      <c r="A146" s="71">
        <v>133</v>
      </c>
      <c r="B146" s="72" t="s">
        <v>279</v>
      </c>
      <c r="C146" s="73">
        <v>17.443266666666666</v>
      </c>
      <c r="D146" s="74">
        <v>1468.1174499999811</v>
      </c>
      <c r="E146" s="73">
        <v>39517.082533175104</v>
      </c>
      <c r="F146" s="75">
        <v>1.2363117179313996</v>
      </c>
      <c r="G146" s="76">
        <v>1.4995331449618987</v>
      </c>
      <c r="H146" s="72" t="s">
        <v>23</v>
      </c>
      <c r="I146" s="72" t="s">
        <v>280</v>
      </c>
    </row>
    <row r="147" spans="1:9" ht="12.75" customHeight="1" x14ac:dyDescent="0.2">
      <c r="A147" s="71">
        <v>134</v>
      </c>
      <c r="B147" s="72" t="s">
        <v>277</v>
      </c>
      <c r="C147" s="73">
        <v>17.5291</v>
      </c>
      <c r="D147" s="74">
        <v>161.23928333332992</v>
      </c>
      <c r="E147" s="73">
        <v>5312.0000000000073</v>
      </c>
      <c r="F147" s="75">
        <v>0.13578070022657884</v>
      </c>
      <c r="G147" s="76">
        <v>0.20157156235788559</v>
      </c>
      <c r="H147" s="72" t="s">
        <v>23</v>
      </c>
      <c r="I147" s="72" t="s">
        <v>278</v>
      </c>
    </row>
    <row r="148" spans="1:9" ht="12.75" customHeight="1" x14ac:dyDescent="0.2">
      <c r="A148" s="71">
        <v>135</v>
      </c>
      <c r="B148" s="72" t="s">
        <v>277</v>
      </c>
      <c r="C148" s="73">
        <v>17.643533333333334</v>
      </c>
      <c r="D148" s="74">
        <v>32.749591666665651</v>
      </c>
      <c r="E148" s="73">
        <v>1557.1381606325012</v>
      </c>
      <c r="F148" s="75">
        <v>2.7578654510896101E-2</v>
      </c>
      <c r="G148" s="76">
        <v>5.9087871205906826E-2</v>
      </c>
      <c r="H148" s="72" t="s">
        <v>23</v>
      </c>
      <c r="I148" s="72" t="s">
        <v>278</v>
      </c>
    </row>
    <row r="149" spans="1:9" ht="12.75" customHeight="1" x14ac:dyDescent="0.2">
      <c r="A149" s="71">
        <v>136</v>
      </c>
      <c r="B149" s="72" t="s">
        <v>255</v>
      </c>
      <c r="C149" s="73">
        <v>17.75225</v>
      </c>
      <c r="D149" s="74">
        <v>119.47430833333715</v>
      </c>
      <c r="E149" s="73">
        <v>2763.254029908745</v>
      </c>
      <c r="F149" s="75">
        <v>0.10061012992131908</v>
      </c>
      <c r="G149" s="76">
        <v>0.1048556912651409</v>
      </c>
      <c r="H149" s="72" t="s">
        <v>23</v>
      </c>
      <c r="I149" s="72" t="s">
        <v>256</v>
      </c>
    </row>
    <row r="150" spans="1:9" ht="12.75" customHeight="1" x14ac:dyDescent="0.2">
      <c r="A150" s="71">
        <v>137</v>
      </c>
      <c r="B150" s="72" t="s">
        <v>277</v>
      </c>
      <c r="C150" s="73">
        <v>17.792316666666668</v>
      </c>
      <c r="D150" s="74">
        <v>115.22108333333085</v>
      </c>
      <c r="E150" s="73">
        <v>3725.7689320388126</v>
      </c>
      <c r="F150" s="75">
        <v>9.7028460139717748E-2</v>
      </c>
      <c r="G150" s="76">
        <v>0.14137971848936998</v>
      </c>
      <c r="H150" s="72" t="s">
        <v>23</v>
      </c>
      <c r="I150" s="72" t="s">
        <v>278</v>
      </c>
    </row>
    <row r="151" spans="1:9" ht="12.75" customHeight="1" x14ac:dyDescent="0.2">
      <c r="A151" s="71">
        <v>139</v>
      </c>
      <c r="B151" s="72" t="s">
        <v>277</v>
      </c>
      <c r="C151" s="73">
        <v>17.952533333333335</v>
      </c>
      <c r="D151" s="74">
        <v>756.0820916666537</v>
      </c>
      <c r="E151" s="73">
        <v>31841.811827956953</v>
      </c>
      <c r="F151" s="75">
        <v>0.63670188624593937</v>
      </c>
      <c r="G151" s="76">
        <v>1.2082838400728682</v>
      </c>
      <c r="H151" s="72" t="s">
        <v>23</v>
      </c>
      <c r="I151" s="72" t="s">
        <v>278</v>
      </c>
    </row>
    <row r="152" spans="1:9" ht="12.75" customHeight="1" x14ac:dyDescent="0.2">
      <c r="A152" s="71">
        <v>140</v>
      </c>
      <c r="B152" s="72" t="s">
        <v>277</v>
      </c>
      <c r="C152" s="73">
        <v>18.066966666666666</v>
      </c>
      <c r="D152" s="74">
        <v>597.68353333333198</v>
      </c>
      <c r="E152" s="73">
        <v>21360.177687154115</v>
      </c>
      <c r="F152" s="75">
        <v>0.50331337991701564</v>
      </c>
      <c r="G152" s="76">
        <v>0.81054299484971692</v>
      </c>
      <c r="H152" s="72" t="s">
        <v>23</v>
      </c>
      <c r="I152" s="72" t="s">
        <v>278</v>
      </c>
    </row>
    <row r="153" spans="1:9" ht="12.75" customHeight="1" x14ac:dyDescent="0.2">
      <c r="A153" s="71">
        <v>141</v>
      </c>
      <c r="B153" s="72" t="s">
        <v>277</v>
      </c>
      <c r="C153" s="73">
        <v>18.221466666666668</v>
      </c>
      <c r="D153" s="74">
        <v>1016.6355833333141</v>
      </c>
      <c r="E153" s="73">
        <v>32765.315256588023</v>
      </c>
      <c r="F153" s="75">
        <v>0.85611575868198853</v>
      </c>
      <c r="G153" s="76">
        <v>1.2433275202219698</v>
      </c>
      <c r="H153" s="72" t="s">
        <v>23</v>
      </c>
      <c r="I153" s="72" t="s">
        <v>278</v>
      </c>
    </row>
    <row r="154" spans="1:9" ht="12.75" customHeight="1" x14ac:dyDescent="0.2">
      <c r="A154" s="71">
        <v>142</v>
      </c>
      <c r="B154" s="72" t="s">
        <v>281</v>
      </c>
      <c r="C154" s="73">
        <v>18.330183333333334</v>
      </c>
      <c r="D154" s="74">
        <v>84.672258333331911</v>
      </c>
      <c r="E154" s="73">
        <v>3469.4641427011302</v>
      </c>
      <c r="F154" s="75">
        <v>7.1303086249137768E-2</v>
      </c>
      <c r="G154" s="76">
        <v>0.13165386065303614</v>
      </c>
      <c r="H154" s="72" t="s">
        <v>282</v>
      </c>
      <c r="I154" s="72" t="s">
        <v>283</v>
      </c>
    </row>
    <row r="155" spans="1:9" ht="12.75" customHeight="1" x14ac:dyDescent="0.2">
      <c r="A155" s="71">
        <v>143</v>
      </c>
      <c r="B155" s="72" t="s">
        <v>281</v>
      </c>
      <c r="C155" s="73">
        <v>18.456066666666668</v>
      </c>
      <c r="D155" s="74">
        <v>167.48359166666523</v>
      </c>
      <c r="E155" s="73">
        <v>5087.8048543688783</v>
      </c>
      <c r="F155" s="75">
        <v>0.14103907486334871</v>
      </c>
      <c r="G155" s="76">
        <v>0.19306415163162047</v>
      </c>
      <c r="H155" s="72" t="s">
        <v>282</v>
      </c>
      <c r="I155" s="72" t="s">
        <v>283</v>
      </c>
    </row>
    <row r="156" spans="1:9" ht="12.75" customHeight="1" x14ac:dyDescent="0.2">
      <c r="A156" s="71">
        <v>144</v>
      </c>
      <c r="B156" s="72" t="s">
        <v>281</v>
      </c>
      <c r="C156" s="73">
        <v>18.576216666666667</v>
      </c>
      <c r="D156" s="74">
        <v>507.65926714610305</v>
      </c>
      <c r="E156" s="73">
        <v>9648.1588639200636</v>
      </c>
      <c r="F156" s="75">
        <v>0.42750333135077312</v>
      </c>
      <c r="G156" s="76">
        <v>0.36611341417120619</v>
      </c>
      <c r="H156" s="72" t="s">
        <v>282</v>
      </c>
      <c r="I156" s="72" t="s">
        <v>283</v>
      </c>
    </row>
    <row r="157" spans="1:9" ht="12.75" customHeight="1" x14ac:dyDescent="0.2">
      <c r="A157" s="71">
        <v>145</v>
      </c>
      <c r="B157" s="72" t="s">
        <v>281</v>
      </c>
      <c r="C157" s="73">
        <v>18.644883333333333</v>
      </c>
      <c r="D157" s="74">
        <v>195.69829118722055</v>
      </c>
      <c r="E157" s="73">
        <v>5917.9470453599497</v>
      </c>
      <c r="F157" s="75">
        <v>0.16479886576780012</v>
      </c>
      <c r="G157" s="76">
        <v>0.22456510389390741</v>
      </c>
      <c r="H157" s="72" t="s">
        <v>282</v>
      </c>
      <c r="I157" s="72" t="s">
        <v>283</v>
      </c>
    </row>
    <row r="158" spans="1:9" ht="12.75" customHeight="1" x14ac:dyDescent="0.2">
      <c r="A158" s="71">
        <v>146</v>
      </c>
      <c r="B158" s="72" t="s">
        <v>281</v>
      </c>
      <c r="C158" s="73">
        <v>18.707833333333333</v>
      </c>
      <c r="D158" s="74">
        <v>108.03619166666294</v>
      </c>
      <c r="E158" s="73">
        <v>4153.514202476319</v>
      </c>
      <c r="F158" s="75">
        <v>9.0978013862705431E-2</v>
      </c>
      <c r="G158" s="76">
        <v>0.15761113461385873</v>
      </c>
      <c r="H158" s="72" t="s">
        <v>282</v>
      </c>
      <c r="I158" s="72" t="s">
        <v>283</v>
      </c>
    </row>
    <row r="159" spans="1:9" ht="12.75" customHeight="1" x14ac:dyDescent="0.2">
      <c r="A159" s="71">
        <v>147</v>
      </c>
      <c r="B159" s="72" t="s">
        <v>281</v>
      </c>
      <c r="C159" s="73">
        <v>18.805099999999999</v>
      </c>
      <c r="D159" s="74">
        <v>508.13553519980269</v>
      </c>
      <c r="E159" s="73">
        <v>10066.895370228442</v>
      </c>
      <c r="F159" s="75">
        <v>0.42790439992717705</v>
      </c>
      <c r="G159" s="76">
        <v>0.38200297964426005</v>
      </c>
      <c r="H159" s="72" t="s">
        <v>282</v>
      </c>
      <c r="I159" s="72" t="s">
        <v>283</v>
      </c>
    </row>
    <row r="160" spans="1:9" ht="12.75" customHeight="1" x14ac:dyDescent="0.2">
      <c r="A160" s="71">
        <v>148</v>
      </c>
      <c r="B160" s="72" t="s">
        <v>284</v>
      </c>
      <c r="C160" s="73">
        <v>18.902366666666666</v>
      </c>
      <c r="D160" s="74">
        <v>880.5188898001843</v>
      </c>
      <c r="E160" s="73">
        <v>25792.151234094759</v>
      </c>
      <c r="F160" s="75">
        <v>0.74149096267463377</v>
      </c>
      <c r="G160" s="76">
        <v>0.97872067410153252</v>
      </c>
      <c r="H160" s="72" t="s">
        <v>285</v>
      </c>
      <c r="I160" s="72" t="s">
        <v>286</v>
      </c>
    </row>
    <row r="161" spans="1:9" ht="12.75" customHeight="1" x14ac:dyDescent="0.2">
      <c r="A161" s="71">
        <v>149</v>
      </c>
      <c r="B161" s="72" t="s">
        <v>281</v>
      </c>
      <c r="C161" s="73">
        <v>19.068316666666668</v>
      </c>
      <c r="D161" s="74">
        <v>734.49234999999317</v>
      </c>
      <c r="E161" s="73">
        <v>21214.14530500344</v>
      </c>
      <c r="F161" s="75">
        <v>0.61852101753573874</v>
      </c>
      <c r="G161" s="76">
        <v>0.80500158381339249</v>
      </c>
      <c r="H161" s="72" t="s">
        <v>282</v>
      </c>
      <c r="I161" s="72" t="s">
        <v>283</v>
      </c>
    </row>
    <row r="162" spans="1:9" ht="12.75" customHeight="1" x14ac:dyDescent="0.2">
      <c r="A162" s="71">
        <v>150</v>
      </c>
      <c r="B162" s="72" t="s">
        <v>284</v>
      </c>
      <c r="C162" s="73">
        <v>19.154133333333334</v>
      </c>
      <c r="D162" s="74">
        <v>10.075249999994867</v>
      </c>
      <c r="E162" s="73">
        <v>253.16241806296603</v>
      </c>
      <c r="F162" s="75">
        <v>8.4844367431789244E-3</v>
      </c>
      <c r="G162" s="76">
        <v>9.6066159900700648E-3</v>
      </c>
      <c r="H162" s="72" t="s">
        <v>285</v>
      </c>
      <c r="I162" s="72" t="s">
        <v>286</v>
      </c>
    </row>
    <row r="163" spans="1:9" ht="12.75" customHeight="1" x14ac:dyDescent="0.2">
      <c r="A163" s="71">
        <v>151</v>
      </c>
      <c r="B163" s="72" t="s">
        <v>284</v>
      </c>
      <c r="C163" s="73">
        <v>19.257133333333332</v>
      </c>
      <c r="D163" s="74">
        <v>193.36782499999754</v>
      </c>
      <c r="E163" s="73">
        <v>5876.6438143328996</v>
      </c>
      <c r="F163" s="75">
        <v>0.16283636429660875</v>
      </c>
      <c r="G163" s="76">
        <v>0.22299779274771933</v>
      </c>
      <c r="H163" s="72" t="s">
        <v>285</v>
      </c>
      <c r="I163" s="72" t="s">
        <v>286</v>
      </c>
    </row>
    <row r="164" spans="1:9" ht="12.75" customHeight="1" x14ac:dyDescent="0.2">
      <c r="A164" s="71">
        <v>152</v>
      </c>
      <c r="B164" s="72" t="s">
        <v>281</v>
      </c>
      <c r="C164" s="73">
        <v>19.388750000000002</v>
      </c>
      <c r="D164" s="74">
        <v>363.08586666666724</v>
      </c>
      <c r="E164" s="73">
        <v>7081.0491534680114</v>
      </c>
      <c r="F164" s="75">
        <v>0.30575708474501428</v>
      </c>
      <c r="G164" s="76">
        <v>0.26870070425405279</v>
      </c>
      <c r="H164" s="72" t="s">
        <v>282</v>
      </c>
      <c r="I164" s="72" t="s">
        <v>283</v>
      </c>
    </row>
    <row r="165" spans="1:9" ht="12.75" customHeight="1" x14ac:dyDescent="0.2">
      <c r="A165" s="71">
        <v>153</v>
      </c>
      <c r="B165" s="72" t="s">
        <v>281</v>
      </c>
      <c r="C165" s="73">
        <v>19.4574</v>
      </c>
      <c r="D165" s="74">
        <v>401.79550833332996</v>
      </c>
      <c r="E165" s="73">
        <v>8546.387527839659</v>
      </c>
      <c r="F165" s="75">
        <v>0.33835473801139376</v>
      </c>
      <c r="G165" s="76">
        <v>0.32430509911569749</v>
      </c>
      <c r="H165" s="72" t="s">
        <v>282</v>
      </c>
      <c r="I165" s="72" t="s">
        <v>283</v>
      </c>
    </row>
    <row r="166" spans="1:9" ht="12.75" customHeight="1" x14ac:dyDescent="0.2">
      <c r="A166" s="71">
        <v>155</v>
      </c>
      <c r="B166" s="72" t="s">
        <v>281</v>
      </c>
      <c r="C166" s="73">
        <v>19.657666666666668</v>
      </c>
      <c r="D166" s="74">
        <v>107.44278333333114</v>
      </c>
      <c r="E166" s="73">
        <v>4303.5266530731096</v>
      </c>
      <c r="F166" s="75">
        <v>9.0478300657868674E-2</v>
      </c>
      <c r="G166" s="76">
        <v>0.16330357513342392</v>
      </c>
      <c r="H166" s="72" t="s">
        <v>282</v>
      </c>
      <c r="I166" s="72" t="s">
        <v>283</v>
      </c>
    </row>
    <row r="167" spans="1:9" ht="12.75" customHeight="1" x14ac:dyDescent="0.2">
      <c r="A167" s="71">
        <v>156</v>
      </c>
      <c r="B167" s="72" t="s">
        <v>281</v>
      </c>
      <c r="C167" s="73">
        <v>19.766400000000001</v>
      </c>
      <c r="D167" s="74">
        <v>84.793141666665633</v>
      </c>
      <c r="E167" s="73">
        <v>3847.2329814343248</v>
      </c>
      <c r="F167" s="75">
        <v>7.1404882928622154E-2</v>
      </c>
      <c r="G167" s="76">
        <v>0.14598884842291077</v>
      </c>
      <c r="H167" s="72" t="s">
        <v>282</v>
      </c>
      <c r="I167" s="72" t="s">
        <v>283</v>
      </c>
    </row>
    <row r="168" spans="1:9" ht="12.75" customHeight="1" x14ac:dyDescent="0.2">
      <c r="A168" s="77">
        <v>157</v>
      </c>
      <c r="B168" s="78" t="s">
        <v>281</v>
      </c>
      <c r="C168" s="79">
        <v>19.898</v>
      </c>
      <c r="D168" s="80">
        <v>484.82893333332868</v>
      </c>
      <c r="E168" s="79">
        <v>8532.2941747572841</v>
      </c>
      <c r="F168" s="81">
        <v>0.4082777515328786</v>
      </c>
      <c r="G168" s="82">
        <v>0.32377030634467424</v>
      </c>
      <c r="H168" s="78" t="s">
        <v>282</v>
      </c>
      <c r="I168" s="78" t="s">
        <v>283</v>
      </c>
    </row>
    <row r="169" spans="1:9" ht="16.5" customHeight="1" x14ac:dyDescent="0.2">
      <c r="A169" s="83" t="s">
        <v>287</v>
      </c>
      <c r="B169" s="84"/>
      <c r="C169" s="85"/>
      <c r="D169" s="86">
        <f>SUM(D44:D168)</f>
        <v>115441.27879321331</v>
      </c>
      <c r="E169" s="86">
        <f>SUM(E44:E168)</f>
        <v>2552791.7262912276</v>
      </c>
      <c r="F169" s="86">
        <f>SUM(F44:F168)</f>
        <v>97.213888238326561</v>
      </c>
      <c r="G169" s="86">
        <f>SUM(I44:I168)</f>
        <v>0</v>
      </c>
      <c r="H169" s="87"/>
      <c r="I169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4986-D4B1-4276-9261-2ED9174FE3E6}">
  <dimension ref="A1:I127"/>
  <sheetViews>
    <sheetView tabSelected="1" workbookViewId="0">
      <selection activeCell="L17" sqref="L17"/>
    </sheetView>
  </sheetViews>
  <sheetFormatPr defaultRowHeight="12.75" x14ac:dyDescent="0.2"/>
  <sheetData>
    <row r="1" spans="1:9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>
        <v>1</v>
      </c>
      <c r="B2" t="s">
        <v>71</v>
      </c>
      <c r="C2">
        <v>3.1497833333333336</v>
      </c>
      <c r="D2">
        <v>53.500991666666891</v>
      </c>
      <c r="E2">
        <v>2495.2609238451987</v>
      </c>
      <c r="F2">
        <v>4.5053549985698549E-2</v>
      </c>
      <c r="G2">
        <v>9.4686303258670362E-2</v>
      </c>
      <c r="H2" t="s">
        <v>72</v>
      </c>
      <c r="I2" t="s">
        <v>73</v>
      </c>
    </row>
    <row r="3" spans="1:9" x14ac:dyDescent="0.2">
      <c r="A3">
        <v>2</v>
      </c>
      <c r="B3" t="s">
        <v>71</v>
      </c>
      <c r="C3">
        <v>3.1955666666666667</v>
      </c>
      <c r="D3">
        <v>13.796208333333198</v>
      </c>
      <c r="E3">
        <v>1507.7449039021521</v>
      </c>
      <c r="F3">
        <v>1.1617881134457516E-2</v>
      </c>
      <c r="G3">
        <v>5.7213572273474483E-2</v>
      </c>
      <c r="H3" t="s">
        <v>72</v>
      </c>
      <c r="I3" t="s">
        <v>73</v>
      </c>
    </row>
    <row r="4" spans="1:9" x14ac:dyDescent="0.2">
      <c r="A4">
        <v>3</v>
      </c>
      <c r="B4" t="s">
        <v>74</v>
      </c>
      <c r="C4">
        <v>3.2470666666666665</v>
      </c>
      <c r="D4">
        <v>11.293349999999805</v>
      </c>
      <c r="E4">
        <v>124.85693483799696</v>
      </c>
      <c r="F4">
        <v>9.5102070612269538E-3</v>
      </c>
      <c r="G4">
        <v>4.7378779040872978E-3</v>
      </c>
      <c r="H4" t="s">
        <v>75</v>
      </c>
      <c r="I4" t="s">
        <v>76</v>
      </c>
    </row>
    <row r="5" spans="1:9" x14ac:dyDescent="0.2">
      <c r="A5">
        <v>4</v>
      </c>
      <c r="B5" t="s">
        <v>74</v>
      </c>
      <c r="C5">
        <v>3.3672166666666667</v>
      </c>
      <c r="D5">
        <v>62.363249999999766</v>
      </c>
      <c r="E5">
        <v>1617.2038834951436</v>
      </c>
      <c r="F5">
        <v>5.25165181731789E-2</v>
      </c>
      <c r="G5">
        <v>6.1367152380902797E-2</v>
      </c>
      <c r="H5" t="s">
        <v>75</v>
      </c>
      <c r="I5" t="s">
        <v>76</v>
      </c>
    </row>
    <row r="6" spans="1:9" x14ac:dyDescent="0.2">
      <c r="A6">
        <v>5</v>
      </c>
      <c r="B6" t="s">
        <v>74</v>
      </c>
      <c r="C6">
        <v>3.5617666666666667</v>
      </c>
      <c r="D6">
        <v>3.5520500000000652</v>
      </c>
      <c r="E6">
        <v>313.63398058252506</v>
      </c>
      <c r="F6">
        <v>2.9912055317361463E-3</v>
      </c>
      <c r="G6">
        <v>1.190129734084003E-2</v>
      </c>
      <c r="H6" t="s">
        <v>75</v>
      </c>
      <c r="I6" t="s">
        <v>76</v>
      </c>
    </row>
    <row r="7" spans="1:9" x14ac:dyDescent="0.2">
      <c r="A7">
        <v>6</v>
      </c>
      <c r="B7" t="s">
        <v>74</v>
      </c>
      <c r="C7">
        <v>3.7448666666666668</v>
      </c>
      <c r="D7">
        <v>243.37344166666708</v>
      </c>
      <c r="E7">
        <v>4120.4215309332403</v>
      </c>
      <c r="F7">
        <v>0.20494643515462493</v>
      </c>
      <c r="G7">
        <v>0.15635538508344934</v>
      </c>
      <c r="H7" t="s">
        <v>75</v>
      </c>
      <c r="I7" t="s">
        <v>76</v>
      </c>
    </row>
    <row r="8" spans="1:9" x14ac:dyDescent="0.2">
      <c r="A8">
        <v>7</v>
      </c>
      <c r="B8" t="s">
        <v>77</v>
      </c>
      <c r="C8">
        <v>3.8822000000000001</v>
      </c>
      <c r="D8">
        <v>34.977716666666709</v>
      </c>
      <c r="E8">
        <v>931.23997311225639</v>
      </c>
      <c r="F8">
        <v>2.9454973770310425E-2</v>
      </c>
      <c r="G8">
        <v>3.5337254576497105E-2</v>
      </c>
      <c r="H8" t="s">
        <v>23</v>
      </c>
      <c r="I8" t="s">
        <v>78</v>
      </c>
    </row>
    <row r="9" spans="1:9" x14ac:dyDescent="0.2">
      <c r="A9">
        <v>8</v>
      </c>
      <c r="B9" t="s">
        <v>79</v>
      </c>
      <c r="C9">
        <v>3.9508666666666667</v>
      </c>
      <c r="D9">
        <v>56.75137500000011</v>
      </c>
      <c r="E9">
        <v>959.83425575298588</v>
      </c>
      <c r="F9">
        <v>4.779071995991882E-2</v>
      </c>
      <c r="G9">
        <v>3.6422306200441915E-2</v>
      </c>
      <c r="H9" t="s">
        <v>23</v>
      </c>
      <c r="I9" t="s">
        <v>80</v>
      </c>
    </row>
    <row r="10" spans="1:9" x14ac:dyDescent="0.2">
      <c r="A10">
        <v>10</v>
      </c>
      <c r="B10" t="s">
        <v>81</v>
      </c>
      <c r="C10">
        <v>4.3342333333333336</v>
      </c>
      <c r="D10">
        <v>0.36530000000001905</v>
      </c>
      <c r="E10">
        <v>347.23892773893112</v>
      </c>
      <c r="F10">
        <v>3.076216215265132E-4</v>
      </c>
      <c r="G10">
        <v>1.3176485914121457E-2</v>
      </c>
      <c r="H10" t="s">
        <v>23</v>
      </c>
      <c r="I10" t="s">
        <v>82</v>
      </c>
    </row>
    <row r="11" spans="1:9" x14ac:dyDescent="0.2">
      <c r="A11">
        <v>11</v>
      </c>
      <c r="B11" t="s">
        <v>83</v>
      </c>
      <c r="C11">
        <v>4.420066666666667</v>
      </c>
      <c r="D11">
        <v>21.12976666666664</v>
      </c>
      <c r="E11">
        <v>758.68009708737986</v>
      </c>
      <c r="F11">
        <v>1.7793520625449002E-2</v>
      </c>
      <c r="G11">
        <v>2.8789219220582692E-2</v>
      </c>
      <c r="H11" t="s">
        <v>23</v>
      </c>
      <c r="I11" t="s">
        <v>84</v>
      </c>
    </row>
    <row r="12" spans="1:9" x14ac:dyDescent="0.2">
      <c r="A12">
        <v>15</v>
      </c>
      <c r="B12" t="s">
        <v>85</v>
      </c>
      <c r="C12">
        <v>4.7176</v>
      </c>
      <c r="D12">
        <v>5.4201083333333671</v>
      </c>
      <c r="E12">
        <v>256.27436440677968</v>
      </c>
      <c r="F12">
        <v>4.5643101953169729E-3</v>
      </c>
      <c r="G12">
        <v>9.7247033181002661E-3</v>
      </c>
      <c r="H12" t="s">
        <v>23</v>
      </c>
      <c r="I12" t="s">
        <v>86</v>
      </c>
    </row>
    <row r="13" spans="1:9" x14ac:dyDescent="0.2">
      <c r="A13">
        <v>16</v>
      </c>
      <c r="B13" t="s">
        <v>87</v>
      </c>
      <c r="C13">
        <v>4.8320499999999997</v>
      </c>
      <c r="D13">
        <v>10.52298333333324</v>
      </c>
      <c r="E13">
        <v>412.54805401111969</v>
      </c>
      <c r="F13">
        <v>8.8614760369457313E-3</v>
      </c>
      <c r="G13">
        <v>1.5654735654127758E-2</v>
      </c>
      <c r="H13" t="s">
        <v>23</v>
      </c>
      <c r="I13" t="s">
        <v>88</v>
      </c>
    </row>
    <row r="14" spans="1:9" x14ac:dyDescent="0.2">
      <c r="A14">
        <v>17</v>
      </c>
      <c r="B14" t="s">
        <v>85</v>
      </c>
      <c r="C14">
        <v>4.9064333333333332</v>
      </c>
      <c r="D14">
        <v>6.6439416666666968</v>
      </c>
      <c r="E14">
        <v>288.13732833957624</v>
      </c>
      <c r="F14">
        <v>5.5949085924650076E-3</v>
      </c>
      <c r="G14">
        <v>1.0933789805541296E-2</v>
      </c>
      <c r="H14" t="s">
        <v>23</v>
      </c>
      <c r="I14" t="s">
        <v>86</v>
      </c>
    </row>
    <row r="15" spans="1:9" x14ac:dyDescent="0.2">
      <c r="A15">
        <v>18</v>
      </c>
      <c r="B15" t="s">
        <v>87</v>
      </c>
      <c r="C15">
        <v>4.9751000000000003</v>
      </c>
      <c r="D15">
        <v>5.7396666666666221</v>
      </c>
      <c r="E15">
        <v>433.29379941739541</v>
      </c>
      <c r="F15">
        <v>4.8334124473626361E-3</v>
      </c>
      <c r="G15">
        <v>1.6441963122844235E-2</v>
      </c>
      <c r="H15" t="s">
        <v>23</v>
      </c>
      <c r="I15" t="s">
        <v>88</v>
      </c>
    </row>
    <row r="16" spans="1:9" x14ac:dyDescent="0.2">
      <c r="A16">
        <v>19</v>
      </c>
      <c r="B16" t="s">
        <v>89</v>
      </c>
      <c r="C16">
        <v>5.1467499999999999</v>
      </c>
      <c r="D16">
        <v>225.42961150974756</v>
      </c>
      <c r="E16">
        <v>3344.16208769582</v>
      </c>
      <c r="F16">
        <v>0.18983581339369518</v>
      </c>
      <c r="G16">
        <v>0.1268990920171035</v>
      </c>
      <c r="H16" t="s">
        <v>90</v>
      </c>
      <c r="I16" t="s">
        <v>91</v>
      </c>
    </row>
    <row r="17" spans="1:9" x14ac:dyDescent="0.2">
      <c r="A17">
        <v>20</v>
      </c>
      <c r="B17" t="s">
        <v>92</v>
      </c>
      <c r="C17">
        <v>5.1925333333333334</v>
      </c>
      <c r="D17">
        <v>235.54101774515263</v>
      </c>
      <c r="E17">
        <v>4386.64835078328</v>
      </c>
      <c r="F17">
        <v>0.19835069754931645</v>
      </c>
      <c r="G17">
        <v>0.16645774879179717</v>
      </c>
      <c r="H17" t="s">
        <v>93</v>
      </c>
      <c r="I17" t="s">
        <v>94</v>
      </c>
    </row>
    <row r="18" spans="1:9" x14ac:dyDescent="0.2">
      <c r="A18">
        <v>21</v>
      </c>
      <c r="B18" t="s">
        <v>92</v>
      </c>
      <c r="C18">
        <v>5.2612000000000005</v>
      </c>
      <c r="D18">
        <v>242.62694508711783</v>
      </c>
      <c r="E18">
        <v>4446.3780209399356</v>
      </c>
      <c r="F18">
        <v>0.20431780529351098</v>
      </c>
      <c r="G18">
        <v>0.16872427795832548</v>
      </c>
      <c r="H18" t="s">
        <v>93</v>
      </c>
      <c r="I18" t="s">
        <v>94</v>
      </c>
    </row>
    <row r="19" spans="1:9" x14ac:dyDescent="0.2">
      <c r="A19">
        <v>22</v>
      </c>
      <c r="B19" t="s">
        <v>95</v>
      </c>
      <c r="C19">
        <v>5.3184166666666668</v>
      </c>
      <c r="D19">
        <v>261.0478569215939</v>
      </c>
      <c r="E19">
        <v>4137.4862630874595</v>
      </c>
      <c r="F19">
        <v>0.21983018078904393</v>
      </c>
      <c r="G19">
        <v>0.15700293115301725</v>
      </c>
      <c r="H19" t="s">
        <v>23</v>
      </c>
      <c r="I19" t="s">
        <v>96</v>
      </c>
    </row>
    <row r="20" spans="1:9" x14ac:dyDescent="0.2">
      <c r="A20">
        <v>23</v>
      </c>
      <c r="B20" t="s">
        <v>97</v>
      </c>
      <c r="C20">
        <v>5.375633333333333</v>
      </c>
      <c r="D20">
        <v>158.9206937363881</v>
      </c>
      <c r="E20">
        <v>3148.5945052349839</v>
      </c>
      <c r="F20">
        <v>0.13382820011306745</v>
      </c>
      <c r="G20">
        <v>0.11947799579285931</v>
      </c>
      <c r="H20" t="s">
        <v>23</v>
      </c>
      <c r="I20" t="s">
        <v>98</v>
      </c>
    </row>
    <row r="21" spans="1:9" x14ac:dyDescent="0.2">
      <c r="A21">
        <v>24</v>
      </c>
      <c r="B21" t="s">
        <v>99</v>
      </c>
      <c r="C21">
        <v>5.5472999999999999</v>
      </c>
      <c r="D21">
        <v>90.271516666666699</v>
      </c>
      <c r="E21">
        <v>1623.9951456310678</v>
      </c>
      <c r="F21">
        <v>7.6018259881347444E-2</v>
      </c>
      <c r="G21">
        <v>6.1624856695496201E-2</v>
      </c>
      <c r="H21" t="s">
        <v>100</v>
      </c>
      <c r="I21" t="s">
        <v>101</v>
      </c>
    </row>
    <row r="22" spans="1:9" x14ac:dyDescent="0.2">
      <c r="A22">
        <v>25</v>
      </c>
      <c r="B22" t="s">
        <v>102</v>
      </c>
      <c r="C22">
        <v>5.6960666666666668</v>
      </c>
      <c r="D22">
        <v>15.165724999999863</v>
      </c>
      <c r="E22">
        <v>701.85310029130267</v>
      </c>
      <c r="F22">
        <v>1.2771160460237871E-2</v>
      </c>
      <c r="G22">
        <v>2.6632836214503661E-2</v>
      </c>
      <c r="H22" t="s">
        <v>103</v>
      </c>
      <c r="I22" t="s">
        <v>104</v>
      </c>
    </row>
    <row r="23" spans="1:9" x14ac:dyDescent="0.2">
      <c r="A23">
        <v>26</v>
      </c>
      <c r="B23" t="s">
        <v>102</v>
      </c>
      <c r="C23">
        <v>5.7990666666666666</v>
      </c>
      <c r="D23">
        <v>1.8676249999999666</v>
      </c>
      <c r="E23">
        <v>477.4577751892794</v>
      </c>
      <c r="F23">
        <v>1.5727397506252777E-3</v>
      </c>
      <c r="G23">
        <v>1.8117829387203129E-2</v>
      </c>
      <c r="H23" t="s">
        <v>103</v>
      </c>
      <c r="I23" t="s">
        <v>104</v>
      </c>
    </row>
    <row r="24" spans="1:9" x14ac:dyDescent="0.2">
      <c r="A24">
        <v>27</v>
      </c>
      <c r="B24" t="s">
        <v>105</v>
      </c>
      <c r="C24">
        <v>5.8448333333333338</v>
      </c>
      <c r="D24">
        <v>13.76196666666673</v>
      </c>
      <c r="E24">
        <v>767.60597232338034</v>
      </c>
      <c r="F24">
        <v>1.15890459934126E-2</v>
      </c>
      <c r="G24">
        <v>2.9127924532467521E-2</v>
      </c>
      <c r="H24" t="s">
        <v>23</v>
      </c>
      <c r="I24" t="s">
        <v>106</v>
      </c>
    </row>
    <row r="25" spans="1:9" x14ac:dyDescent="0.2">
      <c r="A25">
        <v>29</v>
      </c>
      <c r="B25" t="s">
        <v>85</v>
      </c>
      <c r="C25">
        <v>5.9249499999999999</v>
      </c>
      <c r="D25">
        <v>1.6198416666667486</v>
      </c>
      <c r="E25">
        <v>163.59464181712329</v>
      </c>
      <c r="F25">
        <v>1.3640797156206101E-3</v>
      </c>
      <c r="G25">
        <v>6.2078365106280455E-3</v>
      </c>
      <c r="H25" t="s">
        <v>23</v>
      </c>
      <c r="I25" t="s">
        <v>86</v>
      </c>
    </row>
    <row r="26" spans="1:9" x14ac:dyDescent="0.2">
      <c r="A26">
        <v>34</v>
      </c>
      <c r="B26" t="s">
        <v>107</v>
      </c>
      <c r="C26">
        <v>6.3083166666666672</v>
      </c>
      <c r="D26">
        <v>12.539100000000037</v>
      </c>
      <c r="E26">
        <v>475.26286407767066</v>
      </c>
      <c r="F26">
        <v>1.0559261632857683E-2</v>
      </c>
      <c r="G26">
        <v>1.8034540294205453E-2</v>
      </c>
      <c r="H26" t="s">
        <v>108</v>
      </c>
      <c r="I26" t="s">
        <v>109</v>
      </c>
    </row>
    <row r="27" spans="1:9" x14ac:dyDescent="0.2">
      <c r="A27">
        <v>35</v>
      </c>
      <c r="B27" t="s">
        <v>85</v>
      </c>
      <c r="C27">
        <v>6.4341999999999997</v>
      </c>
      <c r="D27">
        <v>6.1590833333332995</v>
      </c>
      <c r="E27">
        <v>494.54514563106341</v>
      </c>
      <c r="F27">
        <v>5.1866060829915484E-3</v>
      </c>
      <c r="G27">
        <v>1.8766234499503272E-2</v>
      </c>
      <c r="H27" t="s">
        <v>23</v>
      </c>
      <c r="I27" t="s">
        <v>86</v>
      </c>
    </row>
    <row r="28" spans="1:9" x14ac:dyDescent="0.2">
      <c r="A28">
        <v>36</v>
      </c>
      <c r="B28" t="s">
        <v>85</v>
      </c>
      <c r="C28">
        <v>6.4570833333333333</v>
      </c>
      <c r="D28">
        <v>9.8091083333333717</v>
      </c>
      <c r="E28">
        <v>361.8824171823822</v>
      </c>
      <c r="F28">
        <v>8.2603170304656106E-3</v>
      </c>
      <c r="G28">
        <v>1.3732154409130426E-2</v>
      </c>
      <c r="H28" t="s">
        <v>23</v>
      </c>
      <c r="I28" t="s">
        <v>86</v>
      </c>
    </row>
    <row r="29" spans="1:9" x14ac:dyDescent="0.2">
      <c r="A29">
        <v>40</v>
      </c>
      <c r="B29" t="s">
        <v>110</v>
      </c>
      <c r="C29">
        <v>6.8118499999999997</v>
      </c>
      <c r="D29">
        <v>24.693741666666689</v>
      </c>
      <c r="E29">
        <v>944.35501618123476</v>
      </c>
      <c r="F29">
        <v>2.0794768281019525E-2</v>
      </c>
      <c r="G29">
        <v>3.5834923951836892E-2</v>
      </c>
      <c r="H29" t="s">
        <v>23</v>
      </c>
      <c r="I29" t="s">
        <v>111</v>
      </c>
    </row>
    <row r="30" spans="1:9" x14ac:dyDescent="0.2">
      <c r="A30">
        <v>41</v>
      </c>
      <c r="B30" t="s">
        <v>112</v>
      </c>
      <c r="C30">
        <v>6.8919500000000005</v>
      </c>
      <c r="D30">
        <v>205.71733333333358</v>
      </c>
      <c r="E30">
        <v>6296.3058438012013</v>
      </c>
      <c r="F30">
        <v>0.17323596949385983</v>
      </c>
      <c r="G30">
        <v>0.23892247854256243</v>
      </c>
      <c r="H30" t="s">
        <v>23</v>
      </c>
      <c r="I30" t="s">
        <v>113</v>
      </c>
    </row>
    <row r="31" spans="1:9" x14ac:dyDescent="0.2">
      <c r="A31">
        <v>42</v>
      </c>
      <c r="B31" t="s">
        <v>114</v>
      </c>
      <c r="C31">
        <v>7.0121166666666666</v>
      </c>
      <c r="D31">
        <v>6.2754583333334093</v>
      </c>
      <c r="E31">
        <v>409</v>
      </c>
      <c r="F31">
        <v>5.284606264226643E-3</v>
      </c>
      <c r="G31">
        <v>1.5520099586666999E-2</v>
      </c>
      <c r="H31" t="s">
        <v>23</v>
      </c>
      <c r="I31" t="s">
        <v>115</v>
      </c>
    </row>
    <row r="32" spans="1:9" x14ac:dyDescent="0.2">
      <c r="A32">
        <v>43</v>
      </c>
      <c r="B32" t="s">
        <v>116</v>
      </c>
      <c r="C32">
        <v>7.0807833333333337</v>
      </c>
      <c r="D32">
        <v>3.8757749999999871</v>
      </c>
      <c r="E32">
        <v>301.02961165048487</v>
      </c>
      <c r="F32">
        <v>3.2638165622005354E-3</v>
      </c>
      <c r="G32">
        <v>1.1423006238022537E-2</v>
      </c>
      <c r="H32" t="s">
        <v>117</v>
      </c>
      <c r="I32" t="s">
        <v>118</v>
      </c>
    </row>
    <row r="33" spans="1:9" x14ac:dyDescent="0.2">
      <c r="A33">
        <v>46</v>
      </c>
      <c r="B33" t="s">
        <v>119</v>
      </c>
      <c r="C33">
        <v>7.3096666666666668</v>
      </c>
      <c r="D33">
        <v>43.342066666666526</v>
      </c>
      <c r="E33">
        <v>1329</v>
      </c>
      <c r="F33">
        <v>3.6498649954310146E-2</v>
      </c>
      <c r="G33">
        <v>5.0430837043228462E-2</v>
      </c>
      <c r="H33" t="s">
        <v>120</v>
      </c>
      <c r="I33" t="s">
        <v>121</v>
      </c>
    </row>
    <row r="34" spans="1:9" x14ac:dyDescent="0.2">
      <c r="A34">
        <v>47</v>
      </c>
      <c r="B34" t="s">
        <v>122</v>
      </c>
      <c r="C34">
        <v>7.5556999999999999</v>
      </c>
      <c r="D34">
        <v>275.07130173488713</v>
      </c>
      <c r="E34">
        <v>5427.8660508968269</v>
      </c>
      <c r="F34">
        <v>0.23163941931314083</v>
      </c>
      <c r="G34">
        <v>0.20596826810026328</v>
      </c>
      <c r="H34" t="s">
        <v>123</v>
      </c>
      <c r="I34" t="s">
        <v>124</v>
      </c>
    </row>
    <row r="35" spans="1:9" x14ac:dyDescent="0.2">
      <c r="A35">
        <v>48</v>
      </c>
      <c r="B35" t="s">
        <v>125</v>
      </c>
      <c r="C35">
        <v>7.6472500000000005</v>
      </c>
      <c r="D35">
        <v>585.92678828216799</v>
      </c>
      <c r="E35">
        <v>4649.395063621032</v>
      </c>
      <c r="F35">
        <v>0.49341294472262004</v>
      </c>
      <c r="G35">
        <v>0.17642805478033341</v>
      </c>
      <c r="H35" t="s">
        <v>126</v>
      </c>
      <c r="I35" t="s">
        <v>127</v>
      </c>
    </row>
    <row r="36" spans="1:9" x14ac:dyDescent="0.2">
      <c r="A36">
        <v>49</v>
      </c>
      <c r="B36" t="s">
        <v>122</v>
      </c>
      <c r="C36">
        <v>7.8074666666666666</v>
      </c>
      <c r="D36">
        <v>141.34382183587564</v>
      </c>
      <c r="E36">
        <v>2373.8080254484144</v>
      </c>
      <c r="F36">
        <v>0.11902659640269471</v>
      </c>
      <c r="G36">
        <v>9.0077596465987134E-2</v>
      </c>
      <c r="H36" t="s">
        <v>123</v>
      </c>
      <c r="I36" t="s">
        <v>124</v>
      </c>
    </row>
    <row r="37" spans="1:9" x14ac:dyDescent="0.2">
      <c r="A37">
        <v>51</v>
      </c>
      <c r="B37" t="s">
        <v>128</v>
      </c>
      <c r="C37">
        <v>8.0077333333333343</v>
      </c>
      <c r="D37">
        <v>35.416500000000511</v>
      </c>
      <c r="E37">
        <v>1085.0000000000052</v>
      </c>
      <c r="F37">
        <v>2.9824476208029957E-2</v>
      </c>
      <c r="G37">
        <v>4.1171902326488444E-2</v>
      </c>
      <c r="H37" t="s">
        <v>23</v>
      </c>
      <c r="I37" t="s">
        <v>129</v>
      </c>
    </row>
    <row r="38" spans="1:9" x14ac:dyDescent="0.2">
      <c r="A38">
        <v>52</v>
      </c>
      <c r="B38" t="s">
        <v>130</v>
      </c>
      <c r="C38">
        <v>8.122183333333334</v>
      </c>
      <c r="D38">
        <v>77.846188975299071</v>
      </c>
      <c r="E38">
        <v>2401.8364208318776</v>
      </c>
      <c r="F38">
        <v>6.5554806685572481E-2</v>
      </c>
      <c r="G38">
        <v>9.1141174675292341E-2</v>
      </c>
      <c r="H38" t="s">
        <v>23</v>
      </c>
      <c r="I38" t="s">
        <v>131</v>
      </c>
    </row>
    <row r="39" spans="1:9" x14ac:dyDescent="0.2">
      <c r="A39">
        <v>53</v>
      </c>
      <c r="B39" t="s">
        <v>132</v>
      </c>
      <c r="C39">
        <v>8.173683333333333</v>
      </c>
      <c r="D39">
        <v>45.486002691367489</v>
      </c>
      <c r="E39">
        <v>1816.9182104159381</v>
      </c>
      <c r="F39">
        <v>3.8304073103413848E-2</v>
      </c>
      <c r="G39">
        <v>6.8945602852039475E-2</v>
      </c>
      <c r="H39" t="s">
        <v>23</v>
      </c>
      <c r="I39" t="s">
        <v>133</v>
      </c>
    </row>
    <row r="40" spans="1:9" x14ac:dyDescent="0.2">
      <c r="A40">
        <v>54</v>
      </c>
      <c r="B40" t="s">
        <v>134</v>
      </c>
      <c r="C40">
        <v>8.259500000000001</v>
      </c>
      <c r="D40">
        <v>17.691691666667307</v>
      </c>
      <c r="E40">
        <v>721.78770226537131</v>
      </c>
      <c r="F40">
        <v>1.4898294218579288E-2</v>
      </c>
      <c r="G40">
        <v>2.738928366647949E-2</v>
      </c>
      <c r="H40" t="s">
        <v>23</v>
      </c>
      <c r="I40" t="s">
        <v>135</v>
      </c>
    </row>
    <row r="41" spans="1:9" x14ac:dyDescent="0.2">
      <c r="A41">
        <v>55</v>
      </c>
      <c r="B41" t="s">
        <v>136</v>
      </c>
      <c r="C41">
        <v>8.3682166666666671</v>
      </c>
      <c r="D41">
        <v>49.762891666667286</v>
      </c>
      <c r="E41">
        <v>1605.311650485439</v>
      </c>
      <c r="F41">
        <v>4.1905670480009857E-2</v>
      </c>
      <c r="G41">
        <v>6.0915884310931007E-2</v>
      </c>
      <c r="H41" t="s">
        <v>23</v>
      </c>
      <c r="I41" t="s">
        <v>129</v>
      </c>
    </row>
    <row r="42" spans="1:9" x14ac:dyDescent="0.2">
      <c r="A42">
        <v>56</v>
      </c>
      <c r="B42" t="s">
        <v>137</v>
      </c>
      <c r="C42">
        <v>8.4655000000000005</v>
      </c>
      <c r="D42">
        <v>60.189612057550001</v>
      </c>
      <c r="E42">
        <v>2081.6403919145569</v>
      </c>
      <c r="F42">
        <v>5.0686082836557171E-2</v>
      </c>
      <c r="G42">
        <v>7.8990870870763924E-2</v>
      </c>
      <c r="H42" t="s">
        <v>138</v>
      </c>
      <c r="I42" t="s">
        <v>139</v>
      </c>
    </row>
    <row r="43" spans="1:9" x14ac:dyDescent="0.2">
      <c r="A43">
        <v>57</v>
      </c>
      <c r="B43" t="s">
        <v>140</v>
      </c>
      <c r="C43">
        <v>8.5513333333333339</v>
      </c>
      <c r="D43">
        <v>290.13641294244496</v>
      </c>
      <c r="E43">
        <v>8800.7413717009458</v>
      </c>
      <c r="F43">
        <v>0.24432585221252748</v>
      </c>
      <c r="G43">
        <v>0.33395692548972861</v>
      </c>
      <c r="H43" t="s">
        <v>141</v>
      </c>
      <c r="I43" t="s">
        <v>142</v>
      </c>
    </row>
    <row r="44" spans="1:9" x14ac:dyDescent="0.2">
      <c r="A44">
        <v>58</v>
      </c>
      <c r="B44" t="s">
        <v>143</v>
      </c>
      <c r="C44">
        <v>8.6657666666666664</v>
      </c>
      <c r="D44">
        <v>9.5771249999997501</v>
      </c>
      <c r="E44">
        <v>333</v>
      </c>
      <c r="F44">
        <v>8.0649622832244094E-3</v>
      </c>
      <c r="G44">
        <v>1.2636169101124963E-2</v>
      </c>
      <c r="H44" t="s">
        <v>23</v>
      </c>
      <c r="I44" t="s">
        <v>144</v>
      </c>
    </row>
    <row r="45" spans="1:9" x14ac:dyDescent="0.2">
      <c r="A45">
        <v>59</v>
      </c>
      <c r="B45" t="s">
        <v>145</v>
      </c>
      <c r="C45">
        <v>8.7916500000000006</v>
      </c>
      <c r="D45">
        <v>106.30285833333262</v>
      </c>
      <c r="E45">
        <v>1863</v>
      </c>
      <c r="F45">
        <v>8.9518362040518176E-2</v>
      </c>
      <c r="G45">
        <v>7.0694243349536959E-2</v>
      </c>
      <c r="H45" t="s">
        <v>23</v>
      </c>
      <c r="I45" t="s">
        <v>146</v>
      </c>
    </row>
    <row r="46" spans="1:9" x14ac:dyDescent="0.2">
      <c r="A46">
        <v>61</v>
      </c>
      <c r="B46" t="s">
        <v>147</v>
      </c>
      <c r="C46">
        <v>9.0720333333333336</v>
      </c>
      <c r="D46">
        <v>88.817266666665915</v>
      </c>
      <c r="E46">
        <v>2933</v>
      </c>
      <c r="F46">
        <v>7.4793626037643224E-2</v>
      </c>
      <c r="G46">
        <v>0.11129694886966823</v>
      </c>
      <c r="H46" t="s">
        <v>148</v>
      </c>
      <c r="I46" t="s">
        <v>149</v>
      </c>
    </row>
    <row r="47" spans="1:9" x14ac:dyDescent="0.2">
      <c r="A47">
        <v>62</v>
      </c>
      <c r="B47" t="s">
        <v>150</v>
      </c>
      <c r="C47">
        <v>9.2665666666666677</v>
      </c>
      <c r="D47">
        <v>1.6545249999999925</v>
      </c>
      <c r="E47">
        <v>264.23203883490964</v>
      </c>
      <c r="F47">
        <v>1.3932867871780054E-3</v>
      </c>
      <c r="G47">
        <v>1.0026668842801612E-2</v>
      </c>
      <c r="H47" t="s">
        <v>23</v>
      </c>
      <c r="I47" t="s">
        <v>151</v>
      </c>
    </row>
    <row r="48" spans="1:9" x14ac:dyDescent="0.2">
      <c r="A48">
        <v>63</v>
      </c>
      <c r="B48" t="s">
        <v>152</v>
      </c>
      <c r="C48">
        <v>9.3180666666666667</v>
      </c>
      <c r="D48">
        <v>112.32034166666449</v>
      </c>
      <c r="E48">
        <v>3999.0781357093861</v>
      </c>
      <c r="F48">
        <v>9.4585725797726561E-2</v>
      </c>
      <c r="G48">
        <v>0.15175083354785396</v>
      </c>
      <c r="H48" t="s">
        <v>153</v>
      </c>
      <c r="I48" t="s">
        <v>154</v>
      </c>
    </row>
    <row r="49" spans="1:9" x14ac:dyDescent="0.2">
      <c r="A49">
        <v>64</v>
      </c>
      <c r="B49" t="s">
        <v>155</v>
      </c>
      <c r="C49">
        <v>9.5698333333333334</v>
      </c>
      <c r="D49">
        <v>99.851683333332204</v>
      </c>
      <c r="E49">
        <v>2231</v>
      </c>
      <c r="F49">
        <v>8.4085783572816764E-2</v>
      </c>
      <c r="G49">
        <v>8.465853833216154E-2</v>
      </c>
      <c r="H49" t="s">
        <v>156</v>
      </c>
      <c r="I49" t="s">
        <v>157</v>
      </c>
    </row>
    <row r="50" spans="1:9" x14ac:dyDescent="0.2">
      <c r="A50">
        <v>65</v>
      </c>
      <c r="B50" t="s">
        <v>158</v>
      </c>
      <c r="C50">
        <v>9.7300500000000003</v>
      </c>
      <c r="D50">
        <v>7899.9536416665696</v>
      </c>
      <c r="E50">
        <v>202080.65315533979</v>
      </c>
      <c r="F50">
        <v>6.6526048432346734</v>
      </c>
      <c r="G50">
        <v>7.6682441601701381</v>
      </c>
      <c r="H50" t="s">
        <v>159</v>
      </c>
      <c r="I50" t="s">
        <v>160</v>
      </c>
    </row>
    <row r="51" spans="1:9" x14ac:dyDescent="0.2">
      <c r="A51">
        <v>66</v>
      </c>
      <c r="B51" t="s">
        <v>161</v>
      </c>
      <c r="C51">
        <v>9.8731000000000009</v>
      </c>
      <c r="D51">
        <v>338.85641666667436</v>
      </c>
      <c r="E51">
        <v>11422.95849262696</v>
      </c>
      <c r="F51">
        <v>0.28535329964319933</v>
      </c>
      <c r="G51">
        <v>0.43346076621010748</v>
      </c>
      <c r="H51" t="s">
        <v>162</v>
      </c>
      <c r="I51" t="s">
        <v>163</v>
      </c>
    </row>
    <row r="52" spans="1:9" x14ac:dyDescent="0.2">
      <c r="A52">
        <v>67</v>
      </c>
      <c r="B52" t="s">
        <v>164</v>
      </c>
      <c r="C52">
        <v>9.9589333333333343</v>
      </c>
      <c r="D52">
        <v>5.2198000000000917</v>
      </c>
      <c r="E52">
        <v>856.33398058253533</v>
      </c>
      <c r="F52">
        <v>4.395629181615214E-3</v>
      </c>
      <c r="G52">
        <v>3.2494837794835967E-2</v>
      </c>
      <c r="H52" t="s">
        <v>23</v>
      </c>
      <c r="I52" t="s">
        <v>165</v>
      </c>
    </row>
    <row r="53" spans="1:9" x14ac:dyDescent="0.2">
      <c r="A53">
        <v>68</v>
      </c>
      <c r="B53" t="s">
        <v>166</v>
      </c>
      <c r="C53">
        <v>10.021866666666666</v>
      </c>
      <c r="D53">
        <v>100.44602500000127</v>
      </c>
      <c r="E53">
        <v>3790.8545821196371</v>
      </c>
      <c r="F53">
        <v>8.4586282744022606E-2</v>
      </c>
      <c r="G53">
        <v>0.14384948810041484</v>
      </c>
      <c r="H53" t="s">
        <v>167</v>
      </c>
      <c r="I53" t="s">
        <v>168</v>
      </c>
    </row>
    <row r="54" spans="1:9" x14ac:dyDescent="0.2">
      <c r="A54">
        <v>70</v>
      </c>
      <c r="B54" t="s">
        <v>169</v>
      </c>
      <c r="C54">
        <v>10.216416666666667</v>
      </c>
      <c r="D54">
        <v>8.7615000000002574</v>
      </c>
      <c r="E54">
        <v>494.26699029126701</v>
      </c>
      <c r="F54">
        <v>7.3781189077593325E-3</v>
      </c>
      <c r="G54">
        <v>1.8755679490764385E-2</v>
      </c>
      <c r="H54" t="s">
        <v>170</v>
      </c>
      <c r="I54" t="s">
        <v>171</v>
      </c>
    </row>
    <row r="55" spans="1:9" x14ac:dyDescent="0.2">
      <c r="A55">
        <v>71</v>
      </c>
      <c r="B55" t="s">
        <v>172</v>
      </c>
      <c r="C55">
        <v>10.256483333333334</v>
      </c>
      <c r="D55">
        <v>4.9450249999999372</v>
      </c>
      <c r="E55">
        <v>699</v>
      </c>
      <c r="F55">
        <v>4.1642392800138161E-3</v>
      </c>
      <c r="G55">
        <v>2.6524571176235284E-2</v>
      </c>
      <c r="H55" t="s">
        <v>173</v>
      </c>
      <c r="I55" t="s">
        <v>174</v>
      </c>
    </row>
    <row r="56" spans="1:9" x14ac:dyDescent="0.2">
      <c r="A56">
        <v>72</v>
      </c>
      <c r="B56" t="s">
        <v>175</v>
      </c>
      <c r="C56">
        <v>10.43385</v>
      </c>
      <c r="D56">
        <v>56.803716666666908</v>
      </c>
      <c r="E56">
        <v>1489</v>
      </c>
      <c r="F56">
        <v>4.7834797234414958E-2</v>
      </c>
      <c r="G56">
        <v>5.6502269644369586E-2</v>
      </c>
      <c r="H56" t="s">
        <v>23</v>
      </c>
      <c r="I56" t="s">
        <v>176</v>
      </c>
    </row>
    <row r="57" spans="1:9" x14ac:dyDescent="0.2">
      <c r="A57">
        <v>73</v>
      </c>
      <c r="B57" t="s">
        <v>177</v>
      </c>
      <c r="C57">
        <v>10.531133333333333</v>
      </c>
      <c r="D57">
        <v>9.120783333333895</v>
      </c>
      <c r="E57">
        <v>1060.8069919883608</v>
      </c>
      <c r="F57">
        <v>7.6806738532494458E-3</v>
      </c>
      <c r="G57">
        <v>4.0253863466728657E-2</v>
      </c>
      <c r="H57" t="s">
        <v>178</v>
      </c>
      <c r="I57" t="s">
        <v>179</v>
      </c>
    </row>
    <row r="58" spans="1:9" x14ac:dyDescent="0.2">
      <c r="A58">
        <v>74</v>
      </c>
      <c r="B58" t="s">
        <v>180</v>
      </c>
      <c r="C58">
        <v>10.594066666666667</v>
      </c>
      <c r="D58">
        <v>75.118508333332073</v>
      </c>
      <c r="E58">
        <v>2254.8518826711029</v>
      </c>
      <c r="F58">
        <v>6.3257808212842326E-2</v>
      </c>
      <c r="G58">
        <v>8.5563632694961089E-2</v>
      </c>
      <c r="H58" t="s">
        <v>181</v>
      </c>
      <c r="I58" t="s">
        <v>182</v>
      </c>
    </row>
    <row r="59" spans="1:9" x14ac:dyDescent="0.2">
      <c r="A59">
        <v>75</v>
      </c>
      <c r="B59" t="s">
        <v>183</v>
      </c>
      <c r="C59">
        <v>10.748566666666667</v>
      </c>
      <c r="D59">
        <v>1934.6479499999621</v>
      </c>
      <c r="E59">
        <v>77533.348526387927</v>
      </c>
      <c r="F59">
        <v>1.6291802339499093</v>
      </c>
      <c r="G59">
        <v>2.9421156244921796</v>
      </c>
      <c r="H59" t="s">
        <v>184</v>
      </c>
      <c r="I59" t="s">
        <v>185</v>
      </c>
    </row>
    <row r="60" spans="1:9" x14ac:dyDescent="0.2">
      <c r="A60">
        <v>77</v>
      </c>
      <c r="B60" t="s">
        <v>186</v>
      </c>
      <c r="C60">
        <v>11.051833333333333</v>
      </c>
      <c r="D60">
        <v>12268.909133333704</v>
      </c>
      <c r="E60">
        <v>495783.50000000006</v>
      </c>
      <c r="F60">
        <v>10.33173206120275</v>
      </c>
      <c r="G60">
        <v>18.813225656299068</v>
      </c>
      <c r="H60" t="s">
        <v>187</v>
      </c>
      <c r="I60" t="s">
        <v>185</v>
      </c>
    </row>
    <row r="61" spans="1:9" x14ac:dyDescent="0.2">
      <c r="A61">
        <v>78</v>
      </c>
      <c r="B61" t="s">
        <v>188</v>
      </c>
      <c r="C61">
        <v>11.114766666666666</v>
      </c>
      <c r="D61">
        <v>499.30226666669</v>
      </c>
      <c r="E61">
        <v>28644.7146185202</v>
      </c>
      <c r="F61">
        <v>0.42046584424818684</v>
      </c>
      <c r="G61">
        <v>1.0869653386579206</v>
      </c>
      <c r="H61" t="s">
        <v>189</v>
      </c>
      <c r="I61" t="s">
        <v>190</v>
      </c>
    </row>
    <row r="62" spans="1:9" x14ac:dyDescent="0.2">
      <c r="A62">
        <v>79</v>
      </c>
      <c r="B62" t="s">
        <v>191</v>
      </c>
      <c r="C62">
        <v>11.337933333333334</v>
      </c>
      <c r="D62">
        <v>317.67099166666418</v>
      </c>
      <c r="E62">
        <v>9520.3683304647166</v>
      </c>
      <c r="F62">
        <v>0.26751290875562445</v>
      </c>
      <c r="G62">
        <v>0.36126421660284358</v>
      </c>
      <c r="H62" t="s">
        <v>192</v>
      </c>
      <c r="I62" t="s">
        <v>193</v>
      </c>
    </row>
    <row r="63" spans="1:9" x14ac:dyDescent="0.2">
      <c r="A63">
        <v>80</v>
      </c>
      <c r="B63" t="s">
        <v>194</v>
      </c>
      <c r="C63">
        <v>11.578250000000001</v>
      </c>
      <c r="D63">
        <v>69.862416666665666</v>
      </c>
      <c r="E63">
        <v>1477.5</v>
      </c>
      <c r="F63">
        <v>5.8831617571200305E-2</v>
      </c>
      <c r="G63">
        <v>5.6065885426162566E-2</v>
      </c>
      <c r="H63" t="s">
        <v>23</v>
      </c>
      <c r="I63" t="s">
        <v>195</v>
      </c>
    </row>
    <row r="64" spans="1:9" x14ac:dyDescent="0.2">
      <c r="A64">
        <v>81</v>
      </c>
      <c r="B64" t="s">
        <v>196</v>
      </c>
      <c r="C64">
        <v>11.698416666666667</v>
      </c>
      <c r="D64">
        <v>450.61193333332778</v>
      </c>
      <c r="E64">
        <v>16244.558884727425</v>
      </c>
      <c r="F64">
        <v>0.37946338245603095</v>
      </c>
      <c r="G64">
        <v>0.61642340252431738</v>
      </c>
      <c r="H64" t="s">
        <v>197</v>
      </c>
      <c r="I64" t="s">
        <v>198</v>
      </c>
    </row>
    <row r="65" spans="1:9" x14ac:dyDescent="0.2">
      <c r="A65">
        <v>82</v>
      </c>
      <c r="B65" t="s">
        <v>199</v>
      </c>
      <c r="C65">
        <v>12.030283333333333</v>
      </c>
      <c r="D65">
        <v>57511.925899999849</v>
      </c>
      <c r="E65">
        <v>643730.25555625919</v>
      </c>
      <c r="F65">
        <v>48.43118506014153</v>
      </c>
      <c r="G65">
        <v>24.427280374532369</v>
      </c>
      <c r="H65" t="s">
        <v>200</v>
      </c>
      <c r="I65" t="s">
        <v>201</v>
      </c>
    </row>
    <row r="66" spans="1:9" x14ac:dyDescent="0.2">
      <c r="A66">
        <v>83</v>
      </c>
      <c r="B66" t="s">
        <v>199</v>
      </c>
      <c r="C66">
        <v>12.17905</v>
      </c>
      <c r="D66">
        <v>606.08095833333005</v>
      </c>
      <c r="E66">
        <v>12100.141886269066</v>
      </c>
      <c r="F66">
        <v>0.5103849087841017</v>
      </c>
      <c r="G66">
        <v>0.45915747454204536</v>
      </c>
      <c r="H66" t="s">
        <v>200</v>
      </c>
      <c r="I66" t="s">
        <v>201</v>
      </c>
    </row>
    <row r="67" spans="1:9" x14ac:dyDescent="0.2">
      <c r="A67">
        <v>84</v>
      </c>
      <c r="B67" t="s">
        <v>202</v>
      </c>
      <c r="C67">
        <v>12.350716666666667</v>
      </c>
      <c r="D67">
        <v>52.823708333332945</v>
      </c>
      <c r="E67">
        <v>1659.5366345507509</v>
      </c>
      <c r="F67">
        <v>4.4483205071291047E-2</v>
      </c>
      <c r="G67">
        <v>6.2973530161246571E-2</v>
      </c>
      <c r="H67" t="s">
        <v>23</v>
      </c>
      <c r="I67" t="s">
        <v>203</v>
      </c>
    </row>
    <row r="68" spans="1:9" x14ac:dyDescent="0.2">
      <c r="A68">
        <v>85</v>
      </c>
      <c r="B68" t="s">
        <v>204</v>
      </c>
      <c r="C68">
        <v>12.447983333333333</v>
      </c>
      <c r="D68">
        <v>142.5365499999975</v>
      </c>
      <c r="E68">
        <v>5899.1672908863857</v>
      </c>
      <c r="F68">
        <v>0.12003100092469714</v>
      </c>
      <c r="G68">
        <v>0.22385247880920603</v>
      </c>
      <c r="H68" t="s">
        <v>205</v>
      </c>
      <c r="I68" t="s">
        <v>206</v>
      </c>
    </row>
    <row r="69" spans="1:9" x14ac:dyDescent="0.2">
      <c r="A69">
        <v>86</v>
      </c>
      <c r="B69" t="s">
        <v>207</v>
      </c>
      <c r="C69">
        <v>12.533816666666667</v>
      </c>
      <c r="D69">
        <v>84.827799999998433</v>
      </c>
      <c r="E69">
        <v>3991.9800249687946</v>
      </c>
      <c r="F69">
        <v>7.1434068947508644E-2</v>
      </c>
      <c r="G69">
        <v>0.15148148541687312</v>
      </c>
      <c r="H69" t="s">
        <v>208</v>
      </c>
      <c r="I69" t="s">
        <v>190</v>
      </c>
    </row>
    <row r="70" spans="1:9" x14ac:dyDescent="0.2">
      <c r="A70">
        <v>87</v>
      </c>
      <c r="B70" t="s">
        <v>209</v>
      </c>
      <c r="C70">
        <v>12.585316666666667</v>
      </c>
      <c r="D70">
        <v>4.3764000000000749</v>
      </c>
      <c r="E70">
        <v>647.79320388351061</v>
      </c>
      <c r="F70">
        <v>3.6853962892104712E-3</v>
      </c>
      <c r="G70">
        <v>2.4581454855350033E-2</v>
      </c>
      <c r="H70" t="s">
        <v>23</v>
      </c>
      <c r="I70" t="s">
        <v>210</v>
      </c>
    </row>
    <row r="71" spans="1:9" x14ac:dyDescent="0.2">
      <c r="A71">
        <v>88</v>
      </c>
      <c r="B71" t="s">
        <v>211</v>
      </c>
      <c r="C71">
        <v>12.7112</v>
      </c>
      <c r="D71">
        <v>150.8259666666668</v>
      </c>
      <c r="E71">
        <v>4955.6666666666679</v>
      </c>
      <c r="F71">
        <v>0.12701157523761689</v>
      </c>
      <c r="G71">
        <v>0.18804997600242732</v>
      </c>
      <c r="H71" t="s">
        <v>212</v>
      </c>
      <c r="I71" t="s">
        <v>213</v>
      </c>
    </row>
    <row r="72" spans="1:9" x14ac:dyDescent="0.2">
      <c r="A72">
        <v>89</v>
      </c>
      <c r="B72" t="s">
        <v>214</v>
      </c>
      <c r="C72">
        <v>12.791316666666667</v>
      </c>
      <c r="D72">
        <v>229.58669166666647</v>
      </c>
      <c r="E72">
        <v>8408.1507373020213</v>
      </c>
      <c r="F72">
        <v>0.19333651894717732</v>
      </c>
      <c r="G72">
        <v>0.31905950313602671</v>
      </c>
      <c r="H72" t="s">
        <v>215</v>
      </c>
      <c r="I72" t="s">
        <v>216</v>
      </c>
    </row>
    <row r="73" spans="1:9" x14ac:dyDescent="0.2">
      <c r="A73">
        <v>90</v>
      </c>
      <c r="B73" t="s">
        <v>217</v>
      </c>
      <c r="C73">
        <v>12.9458</v>
      </c>
      <c r="D73">
        <v>406.58220833332945</v>
      </c>
      <c r="E73">
        <v>12038.857142857143</v>
      </c>
      <c r="F73">
        <v>0.34238565072905253</v>
      </c>
      <c r="G73">
        <v>0.45683193586014714</v>
      </c>
      <c r="H73" t="s">
        <v>218</v>
      </c>
      <c r="I73" t="s">
        <v>213</v>
      </c>
    </row>
    <row r="74" spans="1:9" x14ac:dyDescent="0.2">
      <c r="A74">
        <v>91</v>
      </c>
      <c r="B74" t="s">
        <v>219</v>
      </c>
      <c r="C74">
        <v>13.031633333333334</v>
      </c>
      <c r="D74">
        <v>171.23869999999766</v>
      </c>
      <c r="E74">
        <v>6526.1429531705162</v>
      </c>
      <c r="F74">
        <v>0.14420127720254219</v>
      </c>
      <c r="G74">
        <v>0.247643981784918</v>
      </c>
      <c r="H74" t="s">
        <v>220</v>
      </c>
      <c r="I74" t="s">
        <v>221</v>
      </c>
    </row>
    <row r="75" spans="1:9" x14ac:dyDescent="0.2">
      <c r="A75">
        <v>92</v>
      </c>
      <c r="B75" t="s">
        <v>222</v>
      </c>
      <c r="C75">
        <v>13.088850000000001</v>
      </c>
      <c r="D75">
        <v>1.9923000000000002</v>
      </c>
      <c r="E75">
        <v>0</v>
      </c>
      <c r="F75">
        <v>1.6777294184704087E-3</v>
      </c>
      <c r="G75">
        <v>0</v>
      </c>
      <c r="H75" t="s">
        <v>223</v>
      </c>
      <c r="I75" t="s">
        <v>224</v>
      </c>
    </row>
    <row r="76" spans="1:9" x14ac:dyDescent="0.2">
      <c r="A76">
        <v>94</v>
      </c>
      <c r="B76" t="s">
        <v>225</v>
      </c>
      <c r="C76">
        <v>13.306283333333333</v>
      </c>
      <c r="D76">
        <v>111.80293740239554</v>
      </c>
      <c r="E76">
        <v>2876.6048064085476</v>
      </c>
      <c r="F76">
        <v>9.4150016137832943E-2</v>
      </c>
      <c r="G76">
        <v>0.10915695126392566</v>
      </c>
      <c r="H76" t="s">
        <v>23</v>
      </c>
      <c r="I76" t="s">
        <v>226</v>
      </c>
    </row>
    <row r="77" spans="1:9" x14ac:dyDescent="0.2">
      <c r="A77">
        <v>95</v>
      </c>
      <c r="B77" t="s">
        <v>227</v>
      </c>
      <c r="C77">
        <v>13.357783333333334</v>
      </c>
      <c r="D77">
        <v>72.381837597604232</v>
      </c>
      <c r="E77">
        <v>2070.8372375288272</v>
      </c>
      <c r="F77">
        <v>6.0953239120839289E-2</v>
      </c>
      <c r="G77">
        <v>7.8580929472434669E-2</v>
      </c>
      <c r="H77" t="s">
        <v>228</v>
      </c>
      <c r="I77" t="s">
        <v>229</v>
      </c>
    </row>
    <row r="78" spans="1:9" x14ac:dyDescent="0.2">
      <c r="A78">
        <v>96</v>
      </c>
      <c r="B78" t="s">
        <v>230</v>
      </c>
      <c r="C78">
        <v>13.489383333333334</v>
      </c>
      <c r="D78">
        <v>102.68211666666888</v>
      </c>
      <c r="E78">
        <v>3444.7466019417479</v>
      </c>
      <c r="F78">
        <v>8.6469310787773437E-2</v>
      </c>
      <c r="G78">
        <v>0.13071591763562021</v>
      </c>
      <c r="H78" t="s">
        <v>231</v>
      </c>
      <c r="I78" t="s">
        <v>232</v>
      </c>
    </row>
    <row r="79" spans="1:9" x14ac:dyDescent="0.2">
      <c r="A79">
        <v>97</v>
      </c>
      <c r="B79" t="s">
        <v>233</v>
      </c>
      <c r="C79">
        <v>13.598100000000001</v>
      </c>
      <c r="D79">
        <v>658.61853333332419</v>
      </c>
      <c r="E79">
        <v>17741.724770642199</v>
      </c>
      <c r="F79">
        <v>0.55462715902381743</v>
      </c>
      <c r="G79">
        <v>0.67323553858093788</v>
      </c>
      <c r="H79" t="s">
        <v>23</v>
      </c>
      <c r="I79" t="s">
        <v>234</v>
      </c>
    </row>
    <row r="80" spans="1:9" x14ac:dyDescent="0.2">
      <c r="A80">
        <v>98</v>
      </c>
      <c r="B80" t="s">
        <v>235</v>
      </c>
      <c r="C80">
        <v>13.8041</v>
      </c>
      <c r="D80">
        <v>1562.3756916666432</v>
      </c>
      <c r="E80">
        <v>55514.876055927773</v>
      </c>
      <c r="F80">
        <v>1.3156872261266777</v>
      </c>
      <c r="G80">
        <v>2.106592677089179</v>
      </c>
      <c r="H80" t="s">
        <v>236</v>
      </c>
      <c r="I80" t="s">
        <v>237</v>
      </c>
    </row>
    <row r="81" spans="1:9" x14ac:dyDescent="0.2">
      <c r="A81">
        <v>99</v>
      </c>
      <c r="B81" t="s">
        <v>238</v>
      </c>
      <c r="C81">
        <v>13.952866666666667</v>
      </c>
      <c r="D81">
        <v>63.933983333332932</v>
      </c>
      <c r="E81">
        <v>1637.4264614104429</v>
      </c>
      <c r="F81">
        <v>5.3839243426356202E-2</v>
      </c>
      <c r="G81">
        <v>6.2134527498615699E-2</v>
      </c>
      <c r="H81" t="s">
        <v>23</v>
      </c>
      <c r="I81" t="s">
        <v>239</v>
      </c>
    </row>
    <row r="82" spans="1:9" x14ac:dyDescent="0.2">
      <c r="A82">
        <v>101</v>
      </c>
      <c r="B82" t="s">
        <v>240</v>
      </c>
      <c r="C82">
        <v>14.170300000000001</v>
      </c>
      <c r="D82">
        <v>425.71838333333778</v>
      </c>
      <c r="E82">
        <v>9886.6658511010137</v>
      </c>
      <c r="F82">
        <v>0.35850035421472831</v>
      </c>
      <c r="G82">
        <v>0.37516390853102094</v>
      </c>
      <c r="H82" t="s">
        <v>241</v>
      </c>
      <c r="I82" t="s">
        <v>213</v>
      </c>
    </row>
    <row r="83" spans="1:9" x14ac:dyDescent="0.2">
      <c r="A83">
        <v>104</v>
      </c>
      <c r="B83" t="s">
        <v>242</v>
      </c>
      <c r="C83">
        <v>14.502183333333333</v>
      </c>
      <c r="D83">
        <v>1205.5135333333631</v>
      </c>
      <c r="E83">
        <v>43612.779201864265</v>
      </c>
      <c r="F83">
        <v>1.0151711686179745</v>
      </c>
      <c r="G83">
        <v>1.6549503092035516</v>
      </c>
      <c r="H83" t="s">
        <v>243</v>
      </c>
      <c r="I83" t="s">
        <v>244</v>
      </c>
    </row>
    <row r="84" spans="1:9" x14ac:dyDescent="0.2">
      <c r="A84">
        <v>107</v>
      </c>
      <c r="B84" t="s">
        <v>245</v>
      </c>
      <c r="C84">
        <v>14.788283333333334</v>
      </c>
      <c r="D84">
        <v>184.87362499999713</v>
      </c>
      <c r="E84">
        <v>7118.1510194936127</v>
      </c>
      <c r="F84">
        <v>0.15568334054196736</v>
      </c>
      <c r="G84">
        <v>0.27010858849749653</v>
      </c>
      <c r="H84" t="s">
        <v>23</v>
      </c>
      <c r="I84" t="s">
        <v>246</v>
      </c>
    </row>
    <row r="85" spans="1:9" x14ac:dyDescent="0.2">
      <c r="A85">
        <v>109</v>
      </c>
      <c r="B85" t="s">
        <v>247</v>
      </c>
      <c r="C85">
        <v>15.011433333333335</v>
      </c>
      <c r="D85">
        <v>0.98574166666703888</v>
      </c>
      <c r="E85">
        <v>492.51165048541543</v>
      </c>
      <c r="F85">
        <v>8.3009978074554162E-4</v>
      </c>
      <c r="G85">
        <v>1.8689070569993589E-2</v>
      </c>
      <c r="H85" t="s">
        <v>23</v>
      </c>
      <c r="I85" t="s">
        <v>248</v>
      </c>
    </row>
    <row r="86" spans="1:9" x14ac:dyDescent="0.2">
      <c r="A86">
        <v>111</v>
      </c>
      <c r="B86" t="s">
        <v>249</v>
      </c>
      <c r="C86">
        <v>15.205983333333334</v>
      </c>
      <c r="D86">
        <v>0.81748333333329271</v>
      </c>
      <c r="E86">
        <v>81.666666666666515</v>
      </c>
      <c r="F86">
        <v>6.8840829064022299E-4</v>
      </c>
      <c r="G86">
        <v>3.0989603901657764E-3</v>
      </c>
      <c r="H86" t="s">
        <v>23</v>
      </c>
      <c r="I86" t="s">
        <v>250</v>
      </c>
    </row>
    <row r="87" spans="1:9" x14ac:dyDescent="0.2">
      <c r="A87">
        <v>112</v>
      </c>
      <c r="B87" t="s">
        <v>251</v>
      </c>
      <c r="C87">
        <v>15.30325</v>
      </c>
      <c r="D87">
        <v>5.3331083333334206</v>
      </c>
      <c r="E87">
        <v>848.11262135923789</v>
      </c>
      <c r="F87">
        <v>4.4910469019340312E-3</v>
      </c>
      <c r="G87">
        <v>3.218286636724834E-2</v>
      </c>
      <c r="H87" t="s">
        <v>23</v>
      </c>
      <c r="I87" t="s">
        <v>252</v>
      </c>
    </row>
    <row r="88" spans="1:9" x14ac:dyDescent="0.2">
      <c r="A88">
        <v>113</v>
      </c>
      <c r="B88" t="s">
        <v>253</v>
      </c>
      <c r="C88">
        <v>15.349033333333333</v>
      </c>
      <c r="D88">
        <v>28.040850000000503</v>
      </c>
      <c r="E88">
        <v>1071.2120427322798</v>
      </c>
      <c r="F88">
        <v>2.3613391037452594E-2</v>
      </c>
      <c r="G88">
        <v>4.0648698243623389E-2</v>
      </c>
      <c r="H88" t="s">
        <v>23</v>
      </c>
      <c r="I88" t="s">
        <v>254</v>
      </c>
    </row>
    <row r="89" spans="1:9" x14ac:dyDescent="0.2">
      <c r="A89">
        <v>114</v>
      </c>
      <c r="B89" t="s">
        <v>255</v>
      </c>
      <c r="C89">
        <v>15.3948</v>
      </c>
      <c r="D89">
        <v>15.012691666666484</v>
      </c>
      <c r="E89">
        <v>998.02679091438631</v>
      </c>
      <c r="F89">
        <v>1.2642290046474882E-2</v>
      </c>
      <c r="G89">
        <v>3.7871577469811631E-2</v>
      </c>
      <c r="H89" t="s">
        <v>23</v>
      </c>
      <c r="I89" t="s">
        <v>256</v>
      </c>
    </row>
    <row r="90" spans="1:9" x14ac:dyDescent="0.2">
      <c r="A90">
        <v>115</v>
      </c>
      <c r="B90" t="s">
        <v>253</v>
      </c>
      <c r="C90">
        <v>15.480633333333333</v>
      </c>
      <c r="D90">
        <v>85.313461551957801</v>
      </c>
      <c r="E90">
        <v>3263.3009320905467</v>
      </c>
      <c r="F90">
        <v>7.1843047852865397E-2</v>
      </c>
      <c r="G90">
        <v>0.12383069791517977</v>
      </c>
      <c r="H90" t="s">
        <v>23</v>
      </c>
      <c r="I90" t="s">
        <v>254</v>
      </c>
    </row>
    <row r="91" spans="1:9" x14ac:dyDescent="0.2">
      <c r="A91">
        <v>116</v>
      </c>
      <c r="B91" t="s">
        <v>257</v>
      </c>
      <c r="C91">
        <v>15.560750000000001</v>
      </c>
      <c r="D91">
        <v>378.06003844804326</v>
      </c>
      <c r="E91">
        <v>6706.8434587217052</v>
      </c>
      <c r="F91">
        <v>0.31836693693336143</v>
      </c>
      <c r="G91">
        <v>0.25450092516270661</v>
      </c>
      <c r="H91" t="s">
        <v>258</v>
      </c>
      <c r="I91" t="s">
        <v>106</v>
      </c>
    </row>
    <row r="92" spans="1:9" x14ac:dyDescent="0.2">
      <c r="A92">
        <v>118</v>
      </c>
      <c r="B92" t="s">
        <v>259</v>
      </c>
      <c r="C92">
        <v>15.772450000000001</v>
      </c>
      <c r="D92">
        <v>9570.4684083335997</v>
      </c>
      <c r="E92">
        <v>380298.42857142852</v>
      </c>
      <c r="F92">
        <v>8.0593567219811018</v>
      </c>
      <c r="G92">
        <v>14.430976733695688</v>
      </c>
      <c r="H92" t="s">
        <v>260</v>
      </c>
      <c r="I92" t="s">
        <v>261</v>
      </c>
    </row>
    <row r="93" spans="1:9" x14ac:dyDescent="0.2">
      <c r="A93">
        <v>121</v>
      </c>
      <c r="B93" t="s">
        <v>262</v>
      </c>
      <c r="C93">
        <v>16.184433333333335</v>
      </c>
      <c r="D93">
        <v>110.14237098315905</v>
      </c>
      <c r="E93">
        <v>4207.7712557410059</v>
      </c>
      <c r="F93">
        <v>9.2751641830310413E-2</v>
      </c>
      <c r="G93">
        <v>0.15966999737656543</v>
      </c>
      <c r="H93" t="s">
        <v>263</v>
      </c>
      <c r="I93" t="s">
        <v>264</v>
      </c>
    </row>
    <row r="94" spans="1:9" x14ac:dyDescent="0.2">
      <c r="A94">
        <v>122</v>
      </c>
      <c r="B94" t="s">
        <v>265</v>
      </c>
      <c r="C94">
        <v>16.281716666666668</v>
      </c>
      <c r="D94">
        <v>565.34494568350397</v>
      </c>
      <c r="E94">
        <v>15499.457488517975</v>
      </c>
      <c r="F94">
        <v>0.47608083469194895</v>
      </c>
      <c r="G94">
        <v>0.58814944684868098</v>
      </c>
      <c r="H94" t="s">
        <v>266</v>
      </c>
      <c r="I94" t="s">
        <v>267</v>
      </c>
    </row>
    <row r="95" spans="1:9" x14ac:dyDescent="0.2">
      <c r="A95">
        <v>123</v>
      </c>
      <c r="B95" t="s">
        <v>253</v>
      </c>
      <c r="C95">
        <v>16.361816666666666</v>
      </c>
      <c r="D95">
        <v>51.28629166666542</v>
      </c>
      <c r="E95">
        <v>1597.1236245954524</v>
      </c>
      <c r="F95">
        <v>4.3188536010349013E-2</v>
      </c>
      <c r="G95">
        <v>6.0605177765134417E-2</v>
      </c>
      <c r="H95" t="s">
        <v>23</v>
      </c>
      <c r="I95" t="s">
        <v>254</v>
      </c>
    </row>
    <row r="96" spans="1:9" x14ac:dyDescent="0.2">
      <c r="A96">
        <v>125</v>
      </c>
      <c r="B96" t="s">
        <v>268</v>
      </c>
      <c r="C96">
        <v>16.659366666666667</v>
      </c>
      <c r="D96">
        <v>1687.6266813601683</v>
      </c>
      <c r="E96">
        <v>30898.818605484841</v>
      </c>
      <c r="F96">
        <v>1.421161938821232</v>
      </c>
      <c r="G96">
        <v>1.1725005913630411</v>
      </c>
      <c r="H96" t="s">
        <v>269</v>
      </c>
      <c r="I96" t="s">
        <v>270</v>
      </c>
    </row>
    <row r="97" spans="1:9" x14ac:dyDescent="0.2">
      <c r="A97">
        <v>126</v>
      </c>
      <c r="B97" t="s">
        <v>255</v>
      </c>
      <c r="C97">
        <v>16.745183333333333</v>
      </c>
      <c r="D97">
        <v>53.499758333335819</v>
      </c>
      <c r="E97">
        <v>2508.4681884409893</v>
      </c>
      <c r="F97">
        <v>4.505251138728851E-2</v>
      </c>
      <c r="G97">
        <v>9.5187472113912736E-2</v>
      </c>
      <c r="H97" t="s">
        <v>23</v>
      </c>
      <c r="I97" t="s">
        <v>256</v>
      </c>
    </row>
    <row r="98" spans="1:9" x14ac:dyDescent="0.2">
      <c r="A98">
        <v>127</v>
      </c>
      <c r="B98" t="s">
        <v>271</v>
      </c>
      <c r="C98">
        <v>16.842466666666667</v>
      </c>
      <c r="D98">
        <v>492.02582524032152</v>
      </c>
      <c r="E98">
        <v>15955.711622487614</v>
      </c>
      <c r="F98">
        <v>0.41433830329411608</v>
      </c>
      <c r="G98">
        <v>0.60546267324486025</v>
      </c>
      <c r="H98" t="s">
        <v>272</v>
      </c>
      <c r="I98" t="s">
        <v>273</v>
      </c>
    </row>
    <row r="99" spans="1:9" x14ac:dyDescent="0.2">
      <c r="A99">
        <v>128</v>
      </c>
      <c r="B99" t="s">
        <v>274</v>
      </c>
      <c r="C99">
        <v>16.934016666666668</v>
      </c>
      <c r="D99">
        <v>272.52213309301544</v>
      </c>
      <c r="E99">
        <v>8330.288377512361</v>
      </c>
      <c r="F99">
        <v>0.22949274701323097</v>
      </c>
      <c r="G99">
        <v>0.31610490270084712</v>
      </c>
      <c r="H99" t="s">
        <v>275</v>
      </c>
      <c r="I99" t="s">
        <v>276</v>
      </c>
    </row>
    <row r="100" spans="1:9" x14ac:dyDescent="0.2">
      <c r="A100">
        <v>129</v>
      </c>
      <c r="B100" t="s">
        <v>253</v>
      </c>
      <c r="C100">
        <v>17.008400000000002</v>
      </c>
      <c r="D100">
        <v>285.69943333333106</v>
      </c>
      <c r="E100">
        <v>8148.47638859992</v>
      </c>
      <c r="F100">
        <v>0.2405894414212994</v>
      </c>
      <c r="G100">
        <v>0.30920578247108904</v>
      </c>
      <c r="H100" t="s">
        <v>23</v>
      </c>
      <c r="I100" t="s">
        <v>254</v>
      </c>
    </row>
    <row r="101" spans="1:9" x14ac:dyDescent="0.2">
      <c r="A101">
        <v>130</v>
      </c>
      <c r="B101" t="s">
        <v>277</v>
      </c>
      <c r="C101">
        <v>17.122833333333332</v>
      </c>
      <c r="D101">
        <v>444.65342203774594</v>
      </c>
      <c r="E101">
        <v>9290.7357567284453</v>
      </c>
      <c r="F101">
        <v>0.37444567945403034</v>
      </c>
      <c r="G101">
        <v>0.35255047476242896</v>
      </c>
      <c r="H101" t="s">
        <v>23</v>
      </c>
      <c r="I101" t="s">
        <v>278</v>
      </c>
    </row>
    <row r="102" spans="1:9" x14ac:dyDescent="0.2">
      <c r="A102">
        <v>131</v>
      </c>
      <c r="B102" t="s">
        <v>255</v>
      </c>
      <c r="C102">
        <v>17.174333333333333</v>
      </c>
      <c r="D102">
        <v>190.99240296225196</v>
      </c>
      <c r="E102">
        <v>6673.7735057672162</v>
      </c>
      <c r="F102">
        <v>0.16083600519707117</v>
      </c>
      <c r="G102">
        <v>0.25324603772216853</v>
      </c>
      <c r="H102" t="s">
        <v>23</v>
      </c>
      <c r="I102" t="s">
        <v>256</v>
      </c>
    </row>
    <row r="103" spans="1:9" x14ac:dyDescent="0.2">
      <c r="A103">
        <v>132</v>
      </c>
      <c r="B103" t="s">
        <v>277</v>
      </c>
      <c r="C103">
        <v>17.254450000000002</v>
      </c>
      <c r="D103">
        <v>227.74757499999782</v>
      </c>
      <c r="E103">
        <v>5110.7112544206357</v>
      </c>
      <c r="F103">
        <v>0.19178778625849124</v>
      </c>
      <c r="G103">
        <v>0.19393336828192684</v>
      </c>
      <c r="H103" t="s">
        <v>23</v>
      </c>
      <c r="I103" t="s">
        <v>278</v>
      </c>
    </row>
    <row r="104" spans="1:9" x14ac:dyDescent="0.2">
      <c r="A104">
        <v>133</v>
      </c>
      <c r="B104" t="s">
        <v>279</v>
      </c>
      <c r="C104">
        <v>17.443266666666666</v>
      </c>
      <c r="D104">
        <v>1468.1174499999811</v>
      </c>
      <c r="E104">
        <v>39517.082533175104</v>
      </c>
      <c r="F104">
        <v>1.2363117179313996</v>
      </c>
      <c r="G104">
        <v>1.4995331449618987</v>
      </c>
      <c r="H104" t="s">
        <v>23</v>
      </c>
      <c r="I104" t="s">
        <v>280</v>
      </c>
    </row>
    <row r="105" spans="1:9" x14ac:dyDescent="0.2">
      <c r="A105">
        <v>134</v>
      </c>
      <c r="B105" t="s">
        <v>277</v>
      </c>
      <c r="C105">
        <v>17.5291</v>
      </c>
      <c r="D105">
        <v>161.23928333332992</v>
      </c>
      <c r="E105">
        <v>5312.0000000000073</v>
      </c>
      <c r="F105">
        <v>0.13578070022657884</v>
      </c>
      <c r="G105">
        <v>0.20157156235788559</v>
      </c>
      <c r="H105" t="s">
        <v>23</v>
      </c>
      <c r="I105" t="s">
        <v>278</v>
      </c>
    </row>
    <row r="106" spans="1:9" x14ac:dyDescent="0.2">
      <c r="A106">
        <v>135</v>
      </c>
      <c r="B106" t="s">
        <v>277</v>
      </c>
      <c r="C106">
        <v>17.643533333333334</v>
      </c>
      <c r="D106">
        <v>32.749591666665651</v>
      </c>
      <c r="E106">
        <v>1557.1381606325012</v>
      </c>
      <c r="F106">
        <v>2.7578654510896101E-2</v>
      </c>
      <c r="G106">
        <v>5.9087871205906826E-2</v>
      </c>
      <c r="H106" t="s">
        <v>23</v>
      </c>
      <c r="I106" t="s">
        <v>278</v>
      </c>
    </row>
    <row r="107" spans="1:9" x14ac:dyDescent="0.2">
      <c r="A107">
        <v>136</v>
      </c>
      <c r="B107" t="s">
        <v>255</v>
      </c>
      <c r="C107">
        <v>17.75225</v>
      </c>
      <c r="D107">
        <v>119.47430833333715</v>
      </c>
      <c r="E107">
        <v>2763.254029908745</v>
      </c>
      <c r="F107">
        <v>0.10061012992131908</v>
      </c>
      <c r="G107">
        <v>0.1048556912651409</v>
      </c>
      <c r="H107" t="s">
        <v>23</v>
      </c>
      <c r="I107" t="s">
        <v>256</v>
      </c>
    </row>
    <row r="108" spans="1:9" x14ac:dyDescent="0.2">
      <c r="A108">
        <v>137</v>
      </c>
      <c r="B108" t="s">
        <v>277</v>
      </c>
      <c r="C108">
        <v>17.792316666666668</v>
      </c>
      <c r="D108">
        <v>115.22108333333085</v>
      </c>
      <c r="E108">
        <v>3725.7689320388126</v>
      </c>
      <c r="F108">
        <v>9.7028460139717748E-2</v>
      </c>
      <c r="G108">
        <v>0.14137971848936998</v>
      </c>
      <c r="H108" t="s">
        <v>23</v>
      </c>
      <c r="I108" t="s">
        <v>278</v>
      </c>
    </row>
    <row r="109" spans="1:9" x14ac:dyDescent="0.2">
      <c r="A109">
        <v>139</v>
      </c>
      <c r="B109" t="s">
        <v>277</v>
      </c>
      <c r="C109">
        <v>17.952533333333335</v>
      </c>
      <c r="D109">
        <v>756.0820916666537</v>
      </c>
      <c r="E109">
        <v>31841.811827956953</v>
      </c>
      <c r="F109">
        <v>0.63670188624593937</v>
      </c>
      <c r="G109">
        <v>1.2082838400728682</v>
      </c>
      <c r="H109" t="s">
        <v>23</v>
      </c>
      <c r="I109" t="s">
        <v>278</v>
      </c>
    </row>
    <row r="110" spans="1:9" x14ac:dyDescent="0.2">
      <c r="A110">
        <v>140</v>
      </c>
      <c r="B110" t="s">
        <v>277</v>
      </c>
      <c r="C110">
        <v>18.066966666666666</v>
      </c>
      <c r="D110">
        <v>597.68353333333198</v>
      </c>
      <c r="E110">
        <v>21360.177687154115</v>
      </c>
      <c r="F110">
        <v>0.50331337991701564</v>
      </c>
      <c r="G110">
        <v>0.81054299484971692</v>
      </c>
      <c r="H110" t="s">
        <v>23</v>
      </c>
      <c r="I110" t="s">
        <v>278</v>
      </c>
    </row>
    <row r="111" spans="1:9" x14ac:dyDescent="0.2">
      <c r="A111">
        <v>141</v>
      </c>
      <c r="B111" t="s">
        <v>277</v>
      </c>
      <c r="C111">
        <v>18.221466666666668</v>
      </c>
      <c r="D111">
        <v>1016.6355833333141</v>
      </c>
      <c r="E111">
        <v>32765.315256588023</v>
      </c>
      <c r="F111">
        <v>0.85611575868198853</v>
      </c>
      <c r="G111">
        <v>1.2433275202219698</v>
      </c>
      <c r="H111" t="s">
        <v>23</v>
      </c>
      <c r="I111" t="s">
        <v>278</v>
      </c>
    </row>
    <row r="112" spans="1:9" x14ac:dyDescent="0.2">
      <c r="A112">
        <v>142</v>
      </c>
      <c r="B112" t="s">
        <v>281</v>
      </c>
      <c r="C112">
        <v>18.330183333333334</v>
      </c>
      <c r="D112">
        <v>84.672258333331911</v>
      </c>
      <c r="E112">
        <v>3469.4641427011302</v>
      </c>
      <c r="F112">
        <v>7.1303086249137768E-2</v>
      </c>
      <c r="G112">
        <v>0.13165386065303614</v>
      </c>
      <c r="H112" t="s">
        <v>282</v>
      </c>
      <c r="I112" t="s">
        <v>283</v>
      </c>
    </row>
    <row r="113" spans="1:9" x14ac:dyDescent="0.2">
      <c r="A113">
        <v>143</v>
      </c>
      <c r="B113" t="s">
        <v>281</v>
      </c>
      <c r="C113">
        <v>18.456066666666668</v>
      </c>
      <c r="D113">
        <v>167.48359166666523</v>
      </c>
      <c r="E113">
        <v>5087.8048543688783</v>
      </c>
      <c r="F113">
        <v>0.14103907486334871</v>
      </c>
      <c r="G113">
        <v>0.19306415163162047</v>
      </c>
      <c r="H113" t="s">
        <v>282</v>
      </c>
      <c r="I113" t="s">
        <v>283</v>
      </c>
    </row>
    <row r="114" spans="1:9" x14ac:dyDescent="0.2">
      <c r="A114">
        <v>144</v>
      </c>
      <c r="B114" t="s">
        <v>281</v>
      </c>
      <c r="C114">
        <v>18.576216666666667</v>
      </c>
      <c r="D114">
        <v>507.65926714610305</v>
      </c>
      <c r="E114">
        <v>9648.1588639200636</v>
      </c>
      <c r="F114">
        <v>0.42750333135077312</v>
      </c>
      <c r="G114">
        <v>0.36611341417120619</v>
      </c>
      <c r="H114" t="s">
        <v>282</v>
      </c>
      <c r="I114" t="s">
        <v>283</v>
      </c>
    </row>
    <row r="115" spans="1:9" x14ac:dyDescent="0.2">
      <c r="A115">
        <v>145</v>
      </c>
      <c r="B115" t="s">
        <v>281</v>
      </c>
      <c r="C115">
        <v>18.644883333333333</v>
      </c>
      <c r="D115">
        <v>195.69829118722055</v>
      </c>
      <c r="E115">
        <v>5917.9470453599497</v>
      </c>
      <c r="F115">
        <v>0.16479886576780012</v>
      </c>
      <c r="G115">
        <v>0.22456510389390741</v>
      </c>
      <c r="H115" t="s">
        <v>282</v>
      </c>
      <c r="I115" t="s">
        <v>283</v>
      </c>
    </row>
    <row r="116" spans="1:9" x14ac:dyDescent="0.2">
      <c r="A116">
        <v>146</v>
      </c>
      <c r="B116" t="s">
        <v>281</v>
      </c>
      <c r="C116">
        <v>18.707833333333333</v>
      </c>
      <c r="D116">
        <v>108.03619166666294</v>
      </c>
      <c r="E116">
        <v>4153.514202476319</v>
      </c>
      <c r="F116">
        <v>9.0978013862705431E-2</v>
      </c>
      <c r="G116">
        <v>0.15761113461385873</v>
      </c>
      <c r="H116" t="s">
        <v>282</v>
      </c>
      <c r="I116" t="s">
        <v>283</v>
      </c>
    </row>
    <row r="117" spans="1:9" x14ac:dyDescent="0.2">
      <c r="A117">
        <v>147</v>
      </c>
      <c r="B117" t="s">
        <v>281</v>
      </c>
      <c r="C117">
        <v>18.805099999999999</v>
      </c>
      <c r="D117">
        <v>508.13553519980269</v>
      </c>
      <c r="E117">
        <v>10066.895370228442</v>
      </c>
      <c r="F117">
        <v>0.42790439992717705</v>
      </c>
      <c r="G117">
        <v>0.38200297964426005</v>
      </c>
      <c r="H117" t="s">
        <v>282</v>
      </c>
      <c r="I117" t="s">
        <v>283</v>
      </c>
    </row>
    <row r="118" spans="1:9" x14ac:dyDescent="0.2">
      <c r="A118">
        <v>148</v>
      </c>
      <c r="B118" t="s">
        <v>284</v>
      </c>
      <c r="C118">
        <v>18.902366666666666</v>
      </c>
      <c r="D118">
        <v>880.5188898001843</v>
      </c>
      <c r="E118">
        <v>25792.151234094759</v>
      </c>
      <c r="F118">
        <v>0.74149096267463377</v>
      </c>
      <c r="G118">
        <v>0.97872067410153252</v>
      </c>
      <c r="H118" t="s">
        <v>285</v>
      </c>
      <c r="I118" t="s">
        <v>286</v>
      </c>
    </row>
    <row r="119" spans="1:9" x14ac:dyDescent="0.2">
      <c r="A119">
        <v>149</v>
      </c>
      <c r="B119" t="s">
        <v>281</v>
      </c>
      <c r="C119">
        <v>19.068316666666668</v>
      </c>
      <c r="D119">
        <v>734.49234999999317</v>
      </c>
      <c r="E119">
        <v>21214.14530500344</v>
      </c>
      <c r="F119">
        <v>0.61852101753573874</v>
      </c>
      <c r="G119">
        <v>0.80500158381339249</v>
      </c>
      <c r="H119" t="s">
        <v>282</v>
      </c>
      <c r="I119" t="s">
        <v>283</v>
      </c>
    </row>
    <row r="120" spans="1:9" x14ac:dyDescent="0.2">
      <c r="A120">
        <v>150</v>
      </c>
      <c r="B120" t="s">
        <v>284</v>
      </c>
      <c r="C120">
        <v>19.154133333333334</v>
      </c>
      <c r="D120">
        <v>10.075249999994867</v>
      </c>
      <c r="E120">
        <v>253.16241806296603</v>
      </c>
      <c r="F120">
        <v>8.4844367431789244E-3</v>
      </c>
      <c r="G120">
        <v>9.6066159900700648E-3</v>
      </c>
      <c r="H120" t="s">
        <v>285</v>
      </c>
      <c r="I120" t="s">
        <v>286</v>
      </c>
    </row>
    <row r="121" spans="1:9" x14ac:dyDescent="0.2">
      <c r="A121">
        <v>151</v>
      </c>
      <c r="B121" t="s">
        <v>284</v>
      </c>
      <c r="C121">
        <v>19.257133333333332</v>
      </c>
      <c r="D121">
        <v>193.36782499999754</v>
      </c>
      <c r="E121">
        <v>5876.6438143328996</v>
      </c>
      <c r="F121">
        <v>0.16283636429660875</v>
      </c>
      <c r="G121">
        <v>0.22299779274771933</v>
      </c>
      <c r="H121" t="s">
        <v>285</v>
      </c>
      <c r="I121" t="s">
        <v>286</v>
      </c>
    </row>
    <row r="122" spans="1:9" x14ac:dyDescent="0.2">
      <c r="A122">
        <v>152</v>
      </c>
      <c r="B122" t="s">
        <v>281</v>
      </c>
      <c r="C122">
        <v>19.388750000000002</v>
      </c>
      <c r="D122">
        <v>363.08586666666724</v>
      </c>
      <c r="E122">
        <v>7081.0491534680114</v>
      </c>
      <c r="F122">
        <v>0.30575708474501428</v>
      </c>
      <c r="G122">
        <v>0.26870070425405279</v>
      </c>
      <c r="H122" t="s">
        <v>282</v>
      </c>
      <c r="I122" t="s">
        <v>283</v>
      </c>
    </row>
    <row r="123" spans="1:9" x14ac:dyDescent="0.2">
      <c r="A123">
        <v>153</v>
      </c>
      <c r="B123" t="s">
        <v>281</v>
      </c>
      <c r="C123">
        <v>19.4574</v>
      </c>
      <c r="D123">
        <v>401.79550833332996</v>
      </c>
      <c r="E123">
        <v>8546.387527839659</v>
      </c>
      <c r="F123">
        <v>0.33835473801139376</v>
      </c>
      <c r="G123">
        <v>0.32430509911569749</v>
      </c>
      <c r="H123" t="s">
        <v>282</v>
      </c>
      <c r="I123" t="s">
        <v>283</v>
      </c>
    </row>
    <row r="124" spans="1:9" x14ac:dyDescent="0.2">
      <c r="A124">
        <v>155</v>
      </c>
      <c r="B124" t="s">
        <v>281</v>
      </c>
      <c r="C124">
        <v>19.657666666666668</v>
      </c>
      <c r="D124">
        <v>107.44278333333114</v>
      </c>
      <c r="E124">
        <v>4303.5266530731096</v>
      </c>
      <c r="F124">
        <v>9.0478300657868674E-2</v>
      </c>
      <c r="G124">
        <v>0.16330357513342392</v>
      </c>
      <c r="H124" t="s">
        <v>282</v>
      </c>
      <c r="I124" t="s">
        <v>283</v>
      </c>
    </row>
    <row r="125" spans="1:9" x14ac:dyDescent="0.2">
      <c r="A125">
        <v>156</v>
      </c>
      <c r="B125" t="s">
        <v>281</v>
      </c>
      <c r="C125">
        <v>19.766400000000001</v>
      </c>
      <c r="D125">
        <v>84.793141666665633</v>
      </c>
      <c r="E125">
        <v>3847.2329814343248</v>
      </c>
      <c r="F125">
        <v>7.1404882928622154E-2</v>
      </c>
      <c r="G125">
        <v>0.14598884842291077</v>
      </c>
      <c r="H125" t="s">
        <v>282</v>
      </c>
      <c r="I125" t="s">
        <v>283</v>
      </c>
    </row>
    <row r="126" spans="1:9" x14ac:dyDescent="0.2">
      <c r="A126">
        <v>157</v>
      </c>
      <c r="B126" t="s">
        <v>281</v>
      </c>
      <c r="C126">
        <v>19.898</v>
      </c>
      <c r="D126">
        <v>484.82893333332868</v>
      </c>
      <c r="E126">
        <v>8532.2941747572841</v>
      </c>
      <c r="F126">
        <v>0.4082777515328786</v>
      </c>
      <c r="G126">
        <v>0.32377030634467424</v>
      </c>
      <c r="H126" t="s">
        <v>282</v>
      </c>
      <c r="I126" t="s">
        <v>283</v>
      </c>
    </row>
    <row r="127" spans="1:9" x14ac:dyDescent="0.2">
      <c r="A127" t="s">
        <v>287</v>
      </c>
      <c r="D127">
        <v>115441.27879321331</v>
      </c>
      <c r="E127">
        <v>2552791.7262912276</v>
      </c>
      <c r="F127">
        <v>97.213888238326561</v>
      </c>
      <c r="G1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37" t="s">
        <v>288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289</v>
      </c>
      <c r="B3" s="92"/>
      <c r="C3" s="93" t="s">
        <v>290</v>
      </c>
      <c r="D3" s="92"/>
      <c r="E3" s="92"/>
      <c r="F3" s="92"/>
      <c r="G3" s="92"/>
      <c r="H3" s="94"/>
    </row>
    <row r="4" spans="1:8" ht="12.75" customHeight="1" x14ac:dyDescent="0.2">
      <c r="A4" s="17" t="s">
        <v>291</v>
      </c>
      <c r="C4" s="2" t="s">
        <v>292</v>
      </c>
      <c r="F4" s="95" t="s">
        <v>293</v>
      </c>
      <c r="G4" s="1"/>
      <c r="H4" s="96">
        <v>5.0567749212705754E-3</v>
      </c>
    </row>
    <row r="5" spans="1:8" ht="12.75" customHeight="1" x14ac:dyDescent="0.2">
      <c r="A5" s="17" t="s">
        <v>294</v>
      </c>
      <c r="B5" s="97"/>
      <c r="C5" s="2" t="s">
        <v>61</v>
      </c>
      <c r="F5" s="95" t="s">
        <v>295</v>
      </c>
      <c r="G5" s="1"/>
      <c r="H5" s="96">
        <v>3.4307385855433109E-2</v>
      </c>
    </row>
    <row r="6" spans="1:8" ht="12.75" customHeight="1" x14ac:dyDescent="0.2">
      <c r="A6" s="17" t="s">
        <v>296</v>
      </c>
      <c r="C6" s="98">
        <v>6</v>
      </c>
      <c r="F6" s="95" t="s">
        <v>297</v>
      </c>
      <c r="G6" s="1"/>
      <c r="H6" s="96">
        <v>0</v>
      </c>
    </row>
    <row r="7" spans="1:8" ht="12.75" customHeight="1" x14ac:dyDescent="0.2">
      <c r="A7" s="17" t="s">
        <v>298</v>
      </c>
      <c r="B7" s="99"/>
      <c r="C7" s="100">
        <v>0</v>
      </c>
      <c r="D7" s="99"/>
      <c r="E7" s="99"/>
      <c r="F7" s="101" t="s">
        <v>299</v>
      </c>
      <c r="G7" s="102"/>
      <c r="H7" s="103">
        <v>0.99999372477846582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300</v>
      </c>
      <c r="B9" s="105"/>
      <c r="C9" s="106" t="s">
        <v>290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301</v>
      </c>
      <c r="B36" s="92"/>
      <c r="C36" s="106" t="s">
        <v>290</v>
      </c>
      <c r="D36" s="92"/>
      <c r="E36" s="92"/>
      <c r="F36" s="92"/>
      <c r="G36" s="92"/>
      <c r="H36" s="94"/>
    </row>
    <row r="37" spans="1:13" ht="12.75" customHeight="1" x14ac:dyDescent="0.2">
      <c r="A37" s="55" t="s">
        <v>302</v>
      </c>
      <c r="B37" s="56" t="s">
        <v>17</v>
      </c>
      <c r="C37" s="57" t="s">
        <v>20</v>
      </c>
      <c r="D37" s="57" t="s">
        <v>303</v>
      </c>
      <c r="E37" s="57" t="s">
        <v>304</v>
      </c>
      <c r="F37" s="57" t="s">
        <v>305</v>
      </c>
      <c r="G37" s="57" t="s">
        <v>306</v>
      </c>
      <c r="H37" s="57" t="s">
        <v>307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308</v>
      </c>
      <c r="E38" s="61" t="s">
        <v>309</v>
      </c>
      <c r="F38" s="61" t="s">
        <v>70</v>
      </c>
      <c r="G38" s="61" t="s">
        <v>309</v>
      </c>
      <c r="H38" s="61" t="s">
        <v>310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311</v>
      </c>
      <c r="E39" s="61" t="s">
        <v>311</v>
      </c>
      <c r="F39" s="61" t="s">
        <v>311</v>
      </c>
      <c r="G39" s="61" t="s">
        <v>311</v>
      </c>
      <c r="H39" s="61" t="s">
        <v>311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290</v>
      </c>
      <c r="E40" s="64" t="s">
        <v>290</v>
      </c>
      <c r="F40" s="64" t="s">
        <v>290</v>
      </c>
      <c r="G40" s="64" t="s">
        <v>290</v>
      </c>
      <c r="H40" s="64" t="s">
        <v>290</v>
      </c>
      <c r="I40" s="58"/>
    </row>
    <row r="41" spans="1:13" ht="12.75" customHeight="1" x14ac:dyDescent="0.2">
      <c r="A41" s="108">
        <v>1</v>
      </c>
      <c r="B41" s="109" t="s">
        <v>24</v>
      </c>
      <c r="C41" s="110" t="s">
        <v>27</v>
      </c>
      <c r="D41" s="111">
        <v>20</v>
      </c>
      <c r="E41" s="111">
        <v>0.69371972846273344</v>
      </c>
      <c r="F41" s="112">
        <v>1.257618216400358E-2</v>
      </c>
      <c r="G41" s="112">
        <v>0.69371972846273344</v>
      </c>
      <c r="H41" s="112">
        <v>39.010697729988514</v>
      </c>
      <c r="I41" s="58"/>
      <c r="L41" s="243"/>
      <c r="M41" s="243"/>
    </row>
    <row r="42" spans="1:13" ht="12.75" customHeight="1" x14ac:dyDescent="0.2">
      <c r="A42" s="114">
        <v>2</v>
      </c>
      <c r="B42" s="115" t="s">
        <v>29</v>
      </c>
      <c r="C42" s="116" t="s">
        <v>27</v>
      </c>
      <c r="D42" s="117">
        <v>40</v>
      </c>
      <c r="E42" s="117">
        <v>1.3698938740860227</v>
      </c>
      <c r="F42" s="118">
        <v>-1.8645837631430795E-2</v>
      </c>
      <c r="G42" s="118">
        <v>1.3698938740860227</v>
      </c>
      <c r="H42" s="118">
        <v>73.714902489066759</v>
      </c>
      <c r="I42" s="58"/>
    </row>
    <row r="43" spans="1:13" ht="12.75" customHeight="1" x14ac:dyDescent="0.2">
      <c r="A43" s="114">
        <v>3</v>
      </c>
      <c r="B43" s="115" t="s">
        <v>30</v>
      </c>
      <c r="C43" s="116" t="s">
        <v>27</v>
      </c>
      <c r="D43" s="117">
        <v>80</v>
      </c>
      <c r="E43" s="117">
        <v>2.7485716066184356</v>
      </c>
      <c r="F43" s="118">
        <v>-1.3450459218544708E-3</v>
      </c>
      <c r="G43" s="118">
        <v>2.7485716066184356</v>
      </c>
      <c r="H43" s="118">
        <v>137.54195520314667</v>
      </c>
      <c r="I43" s="58"/>
      <c r="L43" s="243"/>
      <c r="M43" s="243"/>
    </row>
    <row r="44" spans="1:13" ht="12.75" customHeight="1" x14ac:dyDescent="0.2">
      <c r="A44" s="114">
        <v>4</v>
      </c>
      <c r="B44" s="115" t="s">
        <v>31</v>
      </c>
      <c r="C44" s="116" t="s">
        <v>27</v>
      </c>
      <c r="D44" s="117">
        <v>120</v>
      </c>
      <c r="E44" s="117">
        <v>4.1266369493860928</v>
      </c>
      <c r="F44" s="118">
        <v>3.9115598440409016E-3</v>
      </c>
      <c r="G44" s="118">
        <v>4.1266369493860928</v>
      </c>
      <c r="H44" s="118">
        <v>194.96952132703973</v>
      </c>
      <c r="I44" s="58"/>
    </row>
    <row r="45" spans="1:13" ht="12.75" customHeight="1" x14ac:dyDescent="0.2">
      <c r="A45" s="114">
        <v>5</v>
      </c>
      <c r="B45" s="115" t="s">
        <v>32</v>
      </c>
      <c r="C45" s="116" t="s">
        <v>27</v>
      </c>
      <c r="D45" s="117">
        <v>160</v>
      </c>
      <c r="E45" s="117">
        <v>5.50659365464002</v>
      </c>
      <c r="F45" s="118">
        <v>7.721964280907323E-3</v>
      </c>
      <c r="G45" s="118">
        <v>5.50659365464002</v>
      </c>
      <c r="H45" s="118">
        <v>244.80883722135221</v>
      </c>
      <c r="I45" s="58"/>
      <c r="L45" s="243"/>
      <c r="M45" s="243"/>
    </row>
    <row r="46" spans="1:13" ht="12.75" customHeight="1" x14ac:dyDescent="0.2">
      <c r="A46" s="119">
        <v>6</v>
      </c>
      <c r="B46" s="120" t="s">
        <v>33</v>
      </c>
      <c r="C46" s="121" t="s">
        <v>27</v>
      </c>
      <c r="D46" s="122">
        <v>200</v>
      </c>
      <c r="E46" s="122">
        <v>6.8555040667028484</v>
      </c>
      <c r="F46" s="123">
        <v>-5.5149396525222549E-3</v>
      </c>
      <c r="G46" s="123">
        <v>6.8555040667028484</v>
      </c>
      <c r="H46" s="123">
        <v>291.08616775672783</v>
      </c>
      <c r="I46" s="58"/>
    </row>
    <row r="47" spans="1:13" ht="12.75" customHeight="1" x14ac:dyDescent="0.2">
      <c r="A47" s="41"/>
      <c r="B47" s="41"/>
      <c r="C47" s="41"/>
      <c r="D47" s="41"/>
      <c r="E47" s="41"/>
      <c r="F47" s="41"/>
      <c r="G47" s="41"/>
      <c r="H47" s="41"/>
      <c r="I47" s="41"/>
      <c r="J47" s="41"/>
    </row>
  </sheetData>
  <mergeCells count="4">
    <mergeCell ref="L41:M41"/>
    <mergeCell ref="A1:H1"/>
    <mergeCell ref="L43:M43"/>
    <mergeCell ref="L45:M45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OutlineSymbols="0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37" t="s">
        <v>312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24" t="s">
        <v>15</v>
      </c>
      <c r="B3" s="125"/>
      <c r="C3" s="125"/>
      <c r="D3" s="125"/>
      <c r="E3" s="125"/>
      <c r="F3" s="125"/>
      <c r="G3" s="126"/>
      <c r="H3" s="127"/>
    </row>
    <row r="4" spans="1:8" ht="12.75" customHeight="1" x14ac:dyDescent="0.2">
      <c r="A4" s="128" t="s">
        <v>38</v>
      </c>
      <c r="B4" s="129"/>
      <c r="C4" s="130" t="s">
        <v>24</v>
      </c>
      <c r="D4" s="131"/>
      <c r="E4" s="131"/>
      <c r="F4" s="129" t="s">
        <v>40</v>
      </c>
      <c r="G4" s="132">
        <v>0.45</v>
      </c>
      <c r="H4" s="133"/>
    </row>
    <row r="5" spans="1:8" ht="12.75" customHeight="1" x14ac:dyDescent="0.2">
      <c r="A5" s="134" t="s">
        <v>41</v>
      </c>
      <c r="B5" s="135"/>
      <c r="C5" s="136" t="s">
        <v>25</v>
      </c>
      <c r="D5" s="137"/>
      <c r="E5" s="137"/>
      <c r="F5" s="135" t="s">
        <v>42</v>
      </c>
      <c r="G5" s="132">
        <v>2</v>
      </c>
      <c r="H5" s="133"/>
    </row>
    <row r="6" spans="1:8" s="3" customFormat="1" ht="12.75" customHeight="1" x14ac:dyDescent="0.2">
      <c r="A6" s="134" t="s">
        <v>43</v>
      </c>
      <c r="B6" s="135"/>
      <c r="C6" s="136" t="s">
        <v>26</v>
      </c>
      <c r="D6" s="137"/>
      <c r="E6" s="137"/>
      <c r="F6" s="135" t="s">
        <v>44</v>
      </c>
      <c r="G6" s="136" t="s">
        <v>311</v>
      </c>
      <c r="H6" s="138"/>
    </row>
    <row r="7" spans="1:8" ht="12" customHeight="1" x14ac:dyDescent="0.2">
      <c r="A7" s="134" t="s">
        <v>46</v>
      </c>
      <c r="B7" s="135"/>
      <c r="C7" s="136" t="s">
        <v>27</v>
      </c>
      <c r="D7" s="137"/>
      <c r="E7" s="137"/>
      <c r="F7" s="135" t="s">
        <v>47</v>
      </c>
      <c r="G7" s="136">
        <v>244</v>
      </c>
      <c r="H7" s="139"/>
    </row>
    <row r="8" spans="1:8" ht="12" customHeight="1" x14ac:dyDescent="0.2">
      <c r="A8" s="134" t="s">
        <v>49</v>
      </c>
      <c r="B8" s="135"/>
      <c r="C8" s="136" t="s">
        <v>313</v>
      </c>
      <c r="D8" s="137"/>
      <c r="E8" s="137"/>
      <c r="F8" s="135" t="s">
        <v>50</v>
      </c>
      <c r="G8" s="136">
        <v>4</v>
      </c>
      <c r="H8" s="138"/>
    </row>
    <row r="9" spans="1:8" ht="12" customHeight="1" x14ac:dyDescent="0.2">
      <c r="A9" s="134" t="s">
        <v>51</v>
      </c>
      <c r="B9" s="135"/>
      <c r="C9" s="136" t="s">
        <v>313</v>
      </c>
      <c r="D9" s="137"/>
      <c r="E9" s="137"/>
      <c r="F9" s="135" t="s">
        <v>53</v>
      </c>
      <c r="G9" s="140">
        <v>1</v>
      </c>
      <c r="H9" s="141"/>
    </row>
    <row r="10" spans="1:8" ht="12" customHeight="1" x14ac:dyDescent="0.2">
      <c r="A10" s="142" t="s">
        <v>54</v>
      </c>
      <c r="B10" s="143"/>
      <c r="C10" s="144">
        <v>44754.551724537036</v>
      </c>
      <c r="D10" s="145"/>
      <c r="E10" s="145"/>
      <c r="F10" s="143" t="s">
        <v>55</v>
      </c>
      <c r="G10" s="146">
        <v>1</v>
      </c>
      <c r="H10" s="147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8" t="s">
        <v>314</v>
      </c>
      <c r="B39" s="149"/>
      <c r="C39" s="149"/>
      <c r="D39" s="149"/>
      <c r="E39" s="149"/>
      <c r="F39" s="149"/>
      <c r="G39" s="149"/>
      <c r="H39" s="150"/>
    </row>
    <row r="40" spans="1:9" ht="12.75" customHeight="1" x14ac:dyDescent="0.2">
      <c r="A40" s="55" t="s">
        <v>58</v>
      </c>
      <c r="B40" s="56" t="s">
        <v>59</v>
      </c>
      <c r="C40" s="57" t="s">
        <v>315</v>
      </c>
      <c r="D40" s="57" t="s">
        <v>316</v>
      </c>
      <c r="E40" s="57" t="s">
        <v>317</v>
      </c>
      <c r="F40" s="57" t="s">
        <v>318</v>
      </c>
      <c r="G40" s="57" t="s">
        <v>319</v>
      </c>
      <c r="H40" s="57" t="s">
        <v>320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311</v>
      </c>
      <c r="B42" s="63" t="s">
        <v>311</v>
      </c>
      <c r="C42" s="64" t="s">
        <v>311</v>
      </c>
      <c r="D42" s="64" t="s">
        <v>311</v>
      </c>
      <c r="E42" s="64" t="s">
        <v>311</v>
      </c>
      <c r="F42" s="64" t="s">
        <v>311</v>
      </c>
      <c r="G42" s="64" t="s">
        <v>311</v>
      </c>
      <c r="H42" s="64" t="s">
        <v>311</v>
      </c>
      <c r="I42" s="58"/>
    </row>
    <row r="43" spans="1:9" ht="12.75" customHeight="1" x14ac:dyDescent="0.2">
      <c r="A43" s="65">
        <v>1</v>
      </c>
      <c r="B43" s="109" t="s">
        <v>290</v>
      </c>
      <c r="C43" s="151">
        <v>0.17016666666666666</v>
      </c>
      <c r="D43" s="152">
        <v>1.6292151898436691E-2</v>
      </c>
      <c r="E43" s="153" t="s">
        <v>321</v>
      </c>
      <c r="F43" s="154">
        <v>2.720316315062699</v>
      </c>
      <c r="G43" s="154">
        <v>1.4765908837209638</v>
      </c>
      <c r="H43" s="153">
        <v>604</v>
      </c>
    </row>
    <row r="44" spans="1:9" ht="12.75" customHeight="1" x14ac:dyDescent="0.2">
      <c r="A44" s="71">
        <v>2</v>
      </c>
      <c r="B44" s="115" t="s">
        <v>186</v>
      </c>
      <c r="C44" s="155">
        <v>0.24583333333333332</v>
      </c>
      <c r="D44" s="156">
        <v>1.6530011528763405E-2</v>
      </c>
      <c r="E44" s="157" t="s">
        <v>322</v>
      </c>
      <c r="F44" s="158">
        <v>4.0274807738049265</v>
      </c>
      <c r="G44" s="158">
        <v>1.4326622856285074</v>
      </c>
      <c r="H44" s="157">
        <v>1225</v>
      </c>
    </row>
    <row r="45" spans="1:9" ht="12.75" customHeight="1" x14ac:dyDescent="0.2">
      <c r="A45" s="77">
        <v>3</v>
      </c>
      <c r="B45" s="120" t="s">
        <v>323</v>
      </c>
      <c r="C45" s="159">
        <v>0.36283333333333334</v>
      </c>
      <c r="D45" s="160">
        <v>1.7749481721199167E-2</v>
      </c>
      <c r="E45" s="161" t="s">
        <v>321</v>
      </c>
      <c r="F45" s="162" t="s">
        <v>48</v>
      </c>
      <c r="G45" s="162">
        <v>1.3521904745949285</v>
      </c>
      <c r="H45" s="161">
        <v>2315</v>
      </c>
    </row>
    <row r="46" spans="1:9" ht="12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4" t="s">
        <v>324</v>
      </c>
      <c r="B1" s="245"/>
      <c r="C1" s="245"/>
      <c r="D1" s="245"/>
      <c r="E1" s="245"/>
      <c r="F1" s="246"/>
    </row>
    <row r="2" spans="1:9" s="1" customFormat="1" x14ac:dyDescent="0.2">
      <c r="A2" s="5"/>
      <c r="B2" s="6"/>
      <c r="C2" s="6"/>
      <c r="D2" s="163"/>
      <c r="E2" s="6"/>
      <c r="F2" s="7"/>
    </row>
    <row r="3" spans="1:9" s="1" customFormat="1" ht="15.75" x14ac:dyDescent="0.2">
      <c r="A3" s="8" t="s">
        <v>15</v>
      </c>
      <c r="B3" s="9"/>
      <c r="C3" s="9"/>
      <c r="D3" s="164"/>
      <c r="E3" s="9"/>
      <c r="F3" s="165"/>
      <c r="G3" s="166"/>
      <c r="H3" s="166"/>
    </row>
    <row r="4" spans="1:9" s="2" customFormat="1" ht="12.75" customHeight="1" x14ac:dyDescent="0.2">
      <c r="A4" s="167" t="s">
        <v>38</v>
      </c>
      <c r="B4" s="168"/>
      <c r="C4" s="169" t="s">
        <v>24</v>
      </c>
      <c r="D4" s="170"/>
      <c r="E4" s="168" t="s">
        <v>40</v>
      </c>
      <c r="F4" s="171">
        <v>0.45</v>
      </c>
      <c r="G4" s="172"/>
      <c r="H4" s="172"/>
      <c r="I4" s="173"/>
    </row>
    <row r="5" spans="1:9" s="1" customFormat="1" ht="12.75" customHeight="1" x14ac:dyDescent="0.2">
      <c r="A5" s="174" t="s">
        <v>41</v>
      </c>
      <c r="B5" s="175"/>
      <c r="C5" s="176" t="s">
        <v>25</v>
      </c>
      <c r="D5" s="177"/>
      <c r="E5" s="175" t="s">
        <v>42</v>
      </c>
      <c r="F5" s="178">
        <v>2</v>
      </c>
      <c r="G5" s="172"/>
      <c r="H5" s="172"/>
      <c r="I5" s="179"/>
    </row>
    <row r="6" spans="1:9" s="1" customFormat="1" ht="12.75" customHeight="1" x14ac:dyDescent="0.2">
      <c r="A6" s="174" t="s">
        <v>43</v>
      </c>
      <c r="B6" s="175"/>
      <c r="C6" s="176" t="s">
        <v>26</v>
      </c>
      <c r="D6" s="177"/>
      <c r="E6" s="175" t="s">
        <v>44</v>
      </c>
      <c r="F6" s="180" t="s">
        <v>311</v>
      </c>
      <c r="G6" s="181"/>
      <c r="H6" s="181"/>
      <c r="I6" s="179"/>
    </row>
    <row r="7" spans="1:9" s="1" customFormat="1" ht="12.75" customHeight="1" x14ac:dyDescent="0.2">
      <c r="A7" s="174" t="s">
        <v>46</v>
      </c>
      <c r="B7" s="175"/>
      <c r="C7" s="176" t="s">
        <v>27</v>
      </c>
      <c r="D7" s="177"/>
      <c r="E7" s="175" t="s">
        <v>47</v>
      </c>
      <c r="F7" s="180">
        <v>244</v>
      </c>
      <c r="G7" s="181"/>
      <c r="H7" s="182"/>
      <c r="I7" s="179"/>
    </row>
    <row r="8" spans="1:9" s="1" customFormat="1" ht="12.75" customHeight="1" x14ac:dyDescent="0.2">
      <c r="A8" s="174" t="s">
        <v>49</v>
      </c>
      <c r="B8" s="175"/>
      <c r="C8" s="176" t="s">
        <v>313</v>
      </c>
      <c r="D8" s="177"/>
      <c r="E8" s="175" t="s">
        <v>50</v>
      </c>
      <c r="F8" s="180">
        <v>4</v>
      </c>
      <c r="G8" s="181"/>
      <c r="H8" s="181"/>
      <c r="I8" s="179"/>
    </row>
    <row r="9" spans="1:9" s="1" customFormat="1" ht="12.75" customHeight="1" x14ac:dyDescent="0.2">
      <c r="A9" s="174" t="s">
        <v>51</v>
      </c>
      <c r="B9" s="175"/>
      <c r="C9" s="176" t="s">
        <v>313</v>
      </c>
      <c r="D9" s="177"/>
      <c r="E9" s="175" t="s">
        <v>53</v>
      </c>
      <c r="F9" s="183">
        <v>1</v>
      </c>
      <c r="G9" s="184"/>
      <c r="H9" s="184"/>
      <c r="I9" s="179"/>
    </row>
    <row r="10" spans="1:9" s="2" customFormat="1" ht="12.75" customHeight="1" x14ac:dyDescent="0.2">
      <c r="A10" s="185" t="s">
        <v>54</v>
      </c>
      <c r="B10" s="186"/>
      <c r="C10" s="187">
        <v>44754.551724537036</v>
      </c>
      <c r="D10" s="188"/>
      <c r="E10" s="186" t="s">
        <v>55</v>
      </c>
      <c r="F10" s="189">
        <v>1</v>
      </c>
      <c r="G10" s="184"/>
      <c r="H10" s="184"/>
      <c r="I10" s="173"/>
    </row>
    <row r="11" spans="1:9" s="2" customFormat="1" ht="12.75" customHeight="1" x14ac:dyDescent="0.2">
      <c r="A11" s="18"/>
      <c r="B11" s="18"/>
      <c r="C11" s="51"/>
      <c r="E11" s="18"/>
      <c r="F11" s="18"/>
      <c r="G11" s="190"/>
      <c r="H11" s="190"/>
    </row>
    <row r="12" spans="1:9" s="2" customFormat="1" ht="12.75" customHeight="1" x14ac:dyDescent="0.2">
      <c r="A12" s="29" t="s">
        <v>56</v>
      </c>
      <c r="B12" s="30"/>
      <c r="C12" s="30"/>
      <c r="D12" s="191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325</v>
      </c>
      <c r="B39" s="30"/>
      <c r="C39" s="30"/>
      <c r="D39" s="191"/>
      <c r="E39" s="30"/>
      <c r="F39" s="31"/>
    </row>
    <row r="40" spans="1:7" x14ac:dyDescent="0.2">
      <c r="A40" s="192" t="s">
        <v>58</v>
      </c>
      <c r="B40" s="192" t="s">
        <v>326</v>
      </c>
      <c r="C40" s="192" t="s">
        <v>327</v>
      </c>
      <c r="D40" s="192" t="s">
        <v>328</v>
      </c>
      <c r="E40" s="193" t="s">
        <v>329</v>
      </c>
      <c r="F40" s="192" t="s">
        <v>330</v>
      </c>
      <c r="G40" s="58"/>
    </row>
    <row r="41" spans="1:7" x14ac:dyDescent="0.2">
      <c r="A41" s="194">
        <v>1</v>
      </c>
      <c r="B41" s="195" t="s">
        <v>331</v>
      </c>
      <c r="C41" s="195" t="s">
        <v>332</v>
      </c>
      <c r="D41" s="195" t="s">
        <v>333</v>
      </c>
      <c r="E41" s="196" t="s">
        <v>334</v>
      </c>
      <c r="F41" s="195" t="s">
        <v>24</v>
      </c>
    </row>
    <row r="42" spans="1:7" x14ac:dyDescent="0.2">
      <c r="A42" s="194">
        <v>2</v>
      </c>
      <c r="B42" s="195" t="s">
        <v>335</v>
      </c>
      <c r="C42" s="195" t="s">
        <v>336</v>
      </c>
      <c r="D42" s="195" t="s">
        <v>290</v>
      </c>
      <c r="E42" s="196" t="s">
        <v>334</v>
      </c>
      <c r="F42" s="195" t="s">
        <v>24</v>
      </c>
    </row>
    <row r="43" spans="1:7" x14ac:dyDescent="0.2">
      <c r="A43" s="194">
        <v>3</v>
      </c>
      <c r="B43" s="195" t="s">
        <v>337</v>
      </c>
      <c r="C43" s="195" t="s">
        <v>338</v>
      </c>
      <c r="D43" s="195" t="s">
        <v>339</v>
      </c>
      <c r="E43" s="196" t="s">
        <v>334</v>
      </c>
      <c r="F43" s="195" t="s">
        <v>24</v>
      </c>
    </row>
    <row r="44" spans="1:7" x14ac:dyDescent="0.2">
      <c r="A44" s="194">
        <v>4</v>
      </c>
      <c r="B44" s="195" t="s">
        <v>340</v>
      </c>
      <c r="C44" s="195" t="s">
        <v>332</v>
      </c>
      <c r="D44" s="195" t="s">
        <v>341</v>
      </c>
      <c r="E44" s="196" t="s">
        <v>334</v>
      </c>
      <c r="F44" s="195" t="s">
        <v>24</v>
      </c>
    </row>
    <row r="45" spans="1:7" x14ac:dyDescent="0.2">
      <c r="A45" s="194" t="s">
        <v>23</v>
      </c>
      <c r="B45" s="195" t="s">
        <v>23</v>
      </c>
      <c r="C45" s="195" t="s">
        <v>23</v>
      </c>
      <c r="D45" s="195" t="s">
        <v>23</v>
      </c>
      <c r="E45" s="196" t="s">
        <v>23</v>
      </c>
      <c r="F45" s="195" t="s">
        <v>24</v>
      </c>
    </row>
    <row r="46" spans="1:7" x14ac:dyDescent="0.2">
      <c r="A46" s="194" t="s">
        <v>23</v>
      </c>
      <c r="B46" s="195" t="s">
        <v>23</v>
      </c>
      <c r="C46" s="195" t="s">
        <v>23</v>
      </c>
      <c r="D46" s="195" t="s">
        <v>23</v>
      </c>
      <c r="E46" s="196" t="s">
        <v>23</v>
      </c>
      <c r="F46" s="195" t="s">
        <v>24</v>
      </c>
    </row>
    <row r="47" spans="1:7" x14ac:dyDescent="0.2">
      <c r="A47" s="194">
        <v>5</v>
      </c>
      <c r="B47" s="195" t="s">
        <v>342</v>
      </c>
      <c r="C47" s="195" t="s">
        <v>343</v>
      </c>
      <c r="D47" s="195" t="s">
        <v>23</v>
      </c>
      <c r="E47" s="196" t="s">
        <v>334</v>
      </c>
      <c r="F47" s="195" t="s">
        <v>24</v>
      </c>
    </row>
    <row r="48" spans="1:7" x14ac:dyDescent="0.2">
      <c r="A48" s="194">
        <v>6</v>
      </c>
      <c r="B48" s="195" t="s">
        <v>344</v>
      </c>
      <c r="C48" s="195" t="s">
        <v>345</v>
      </c>
      <c r="D48" s="195" t="s">
        <v>341</v>
      </c>
      <c r="E48" s="196" t="s">
        <v>334</v>
      </c>
      <c r="F48" s="195" t="s">
        <v>24</v>
      </c>
    </row>
    <row r="49" spans="1:6" x14ac:dyDescent="0.2">
      <c r="A49" s="194" t="s">
        <v>23</v>
      </c>
      <c r="B49" s="195" t="s">
        <v>23</v>
      </c>
      <c r="C49" s="195" t="s">
        <v>23</v>
      </c>
      <c r="D49" s="195" t="s">
        <v>23</v>
      </c>
      <c r="E49" s="196" t="s">
        <v>23</v>
      </c>
      <c r="F49" s="195" t="s">
        <v>24</v>
      </c>
    </row>
    <row r="50" spans="1:6" x14ac:dyDescent="0.2">
      <c r="A50" s="194" t="s">
        <v>23</v>
      </c>
      <c r="B50" s="195" t="s">
        <v>23</v>
      </c>
      <c r="C50" s="195" t="s">
        <v>23</v>
      </c>
      <c r="D50" s="195" t="s">
        <v>23</v>
      </c>
      <c r="E50" s="196" t="s">
        <v>23</v>
      </c>
      <c r="F50" s="195" t="s">
        <v>24</v>
      </c>
    </row>
    <row r="51" spans="1:6" ht="17.25" customHeight="1" x14ac:dyDescent="0.2">
      <c r="A51" s="83"/>
      <c r="B51" s="197" t="s">
        <v>346</v>
      </c>
      <c r="C51" s="198">
        <f ca="1">IF(AND(E41="n.a.",INDIRECT(ADDRESS(ROW(E41)+1,COLUMN(E41)))="n.a."),"n.a.",ROWS(E41:E50)-COUNTIF(E41:E50,"Not Executed")-COUNTIF(E41:E50,"n.a.")-COUNTIF(E41:E50,""))</f>
        <v>0</v>
      </c>
      <c r="D51" s="199" t="s">
        <v>347</v>
      </c>
      <c r="E51" s="200" t="s">
        <v>334</v>
      </c>
      <c r="F51" s="201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37" t="s">
        <v>348</v>
      </c>
      <c r="B1" s="238"/>
      <c r="C1" s="238"/>
      <c r="D1" s="238"/>
      <c r="E1" s="238"/>
      <c r="F1" s="238"/>
      <c r="G1" s="238"/>
      <c r="H1" s="239"/>
    </row>
    <row r="2" spans="1:8" ht="13.9" customHeight="1" x14ac:dyDescent="0.2">
      <c r="A2" s="202"/>
      <c r="B2" s="203"/>
      <c r="C2" s="203"/>
      <c r="D2" s="203"/>
      <c r="E2" s="203"/>
      <c r="F2" s="203"/>
      <c r="G2" s="203"/>
      <c r="H2" s="204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30" t="s">
        <v>3</v>
      </c>
      <c r="D4" s="2"/>
      <c r="E4" s="2"/>
      <c r="F4" s="18" t="s">
        <v>4</v>
      </c>
      <c r="G4" s="205">
        <v>42865.586736805555</v>
      </c>
      <c r="H4" s="21"/>
    </row>
    <row r="5" spans="1:8" ht="12.75" customHeight="1" x14ac:dyDescent="0.2">
      <c r="A5" s="17" t="s">
        <v>5</v>
      </c>
      <c r="B5" s="18"/>
      <c r="C5" s="136" t="s">
        <v>6</v>
      </c>
      <c r="D5" s="2"/>
      <c r="E5" s="2"/>
      <c r="F5" s="18" t="s">
        <v>7</v>
      </c>
      <c r="G5" s="138" t="s">
        <v>8</v>
      </c>
      <c r="H5" s="20"/>
    </row>
    <row r="6" spans="1:8" ht="12.75" customHeight="1" x14ac:dyDescent="0.2">
      <c r="A6" s="17" t="s">
        <v>9</v>
      </c>
      <c r="B6" s="18"/>
      <c r="C6" s="136" t="s">
        <v>10</v>
      </c>
      <c r="D6" s="2"/>
      <c r="E6" s="2"/>
      <c r="F6" s="18" t="s">
        <v>11</v>
      </c>
      <c r="G6" s="206">
        <v>45015.525102340107</v>
      </c>
      <c r="H6" s="21"/>
    </row>
    <row r="7" spans="1:8" ht="12.75" customHeight="1" x14ac:dyDescent="0.2">
      <c r="A7" s="22" t="s">
        <v>12</v>
      </c>
      <c r="B7" s="23"/>
      <c r="C7" s="207">
        <v>7</v>
      </c>
      <c r="D7" s="25"/>
      <c r="E7" s="25"/>
      <c r="F7" s="23" t="s">
        <v>13</v>
      </c>
      <c r="G7" s="208" t="s">
        <v>14</v>
      </c>
      <c r="H7" s="26"/>
    </row>
    <row r="8" spans="1:8" ht="12.75" customHeight="1" x14ac:dyDescent="0.2">
      <c r="A8" s="209"/>
      <c r="B8"/>
      <c r="C8"/>
      <c r="D8"/>
      <c r="E8"/>
      <c r="F8"/>
      <c r="G8"/>
      <c r="H8" s="210"/>
    </row>
    <row r="9" spans="1:8" ht="13.9" customHeight="1" x14ac:dyDescent="0.25">
      <c r="A9" s="29" t="s">
        <v>349</v>
      </c>
      <c r="B9" s="30"/>
      <c r="C9" s="211" t="s">
        <v>290</v>
      </c>
      <c r="D9" s="30"/>
      <c r="E9" s="30"/>
      <c r="F9" s="30"/>
      <c r="G9" s="30"/>
      <c r="H9" s="212"/>
    </row>
    <row r="11" spans="1:8" ht="12.75" customHeight="1" x14ac:dyDescent="0.2">
      <c r="A11" s="213" t="s">
        <v>16</v>
      </c>
      <c r="B11" s="213" t="s">
        <v>17</v>
      </c>
      <c r="C11" s="214" t="s">
        <v>315</v>
      </c>
      <c r="D11" s="214" t="s">
        <v>306</v>
      </c>
      <c r="E11" s="214" t="s">
        <v>307</v>
      </c>
      <c r="F11" s="214" t="s">
        <v>350</v>
      </c>
      <c r="G11" s="214" t="s">
        <v>351</v>
      </c>
      <c r="H11" s="214" t="s">
        <v>352</v>
      </c>
    </row>
    <row r="12" spans="1:8" ht="12.75" customHeight="1" x14ac:dyDescent="0.2">
      <c r="A12" s="215" t="s">
        <v>23</v>
      </c>
      <c r="B12" s="215" t="s">
        <v>23</v>
      </c>
      <c r="C12" s="216" t="s">
        <v>67</v>
      </c>
      <c r="D12" s="216" t="s">
        <v>309</v>
      </c>
      <c r="E12" s="216" t="s">
        <v>310</v>
      </c>
      <c r="F12" s="216" t="s">
        <v>308</v>
      </c>
      <c r="G12" s="216" t="s">
        <v>70</v>
      </c>
      <c r="H12" s="216" t="s">
        <v>23</v>
      </c>
    </row>
    <row r="13" spans="1:8" ht="12.75" customHeight="1" x14ac:dyDescent="0.2">
      <c r="A13" s="215" t="s">
        <v>23</v>
      </c>
      <c r="B13" s="215" t="s">
        <v>23</v>
      </c>
      <c r="C13" s="216" t="s">
        <v>311</v>
      </c>
      <c r="D13" s="216" t="s">
        <v>311</v>
      </c>
      <c r="E13" s="216" t="s">
        <v>311</v>
      </c>
      <c r="F13" s="216" t="s">
        <v>311</v>
      </c>
      <c r="G13" s="216" t="s">
        <v>311</v>
      </c>
      <c r="H13" s="216" t="s">
        <v>311</v>
      </c>
    </row>
    <row r="14" spans="1:8" ht="12.75" hidden="1" customHeight="1" x14ac:dyDescent="0.2">
      <c r="A14" s="217" t="s">
        <v>23</v>
      </c>
      <c r="B14" s="217" t="s">
        <v>23</v>
      </c>
      <c r="C14" s="218" t="s">
        <v>290</v>
      </c>
      <c r="D14" s="218" t="s">
        <v>290</v>
      </c>
      <c r="E14" s="218" t="s">
        <v>290</v>
      </c>
      <c r="F14" s="218" t="s">
        <v>290</v>
      </c>
      <c r="G14" s="218" t="s">
        <v>290</v>
      </c>
      <c r="H14" s="218" t="s">
        <v>290</v>
      </c>
    </row>
    <row r="15" spans="1:8" ht="12.75" customHeight="1" x14ac:dyDescent="0.2">
      <c r="A15" s="219">
        <v>1</v>
      </c>
      <c r="B15" s="220" t="s">
        <v>24</v>
      </c>
      <c r="C15" s="221">
        <v>0.17016666666666666</v>
      </c>
      <c r="D15" s="221">
        <v>0.69371972846273344</v>
      </c>
      <c r="E15" s="221">
        <v>39.010697729988514</v>
      </c>
      <c r="F15" s="222">
        <v>20.073314721308105</v>
      </c>
      <c r="G15" s="223">
        <v>32.55243172146043</v>
      </c>
      <c r="H15" s="224" t="s">
        <v>321</v>
      </c>
    </row>
    <row r="16" spans="1:8" ht="12.75" customHeight="1" x14ac:dyDescent="0.2">
      <c r="A16" s="225">
        <v>2</v>
      </c>
      <c r="B16" s="226" t="s">
        <v>29</v>
      </c>
      <c r="C16" s="227">
        <v>0.17166666666666666</v>
      </c>
      <c r="D16" s="227">
        <v>1.3698938740860227</v>
      </c>
      <c r="E16" s="227">
        <v>73.714902489066759</v>
      </c>
      <c r="F16" s="228">
        <v>39.782602641775135</v>
      </c>
      <c r="G16" s="229">
        <v>32.508042696583445</v>
      </c>
      <c r="H16" s="230" t="s">
        <v>321</v>
      </c>
    </row>
    <row r="17" spans="1:8" ht="12.75" customHeight="1" x14ac:dyDescent="0.2">
      <c r="A17" s="219">
        <v>3</v>
      </c>
      <c r="B17" s="220" t="s">
        <v>30</v>
      </c>
      <c r="C17" s="221">
        <v>0.17399999999999999</v>
      </c>
      <c r="D17" s="221">
        <v>2.7485716066184356</v>
      </c>
      <c r="E17" s="221">
        <v>137.54195520314667</v>
      </c>
      <c r="F17" s="222">
        <v>79.96863542031393</v>
      </c>
      <c r="G17" s="223">
        <v>32.353945222991186</v>
      </c>
      <c r="H17" s="224" t="s">
        <v>321</v>
      </c>
    </row>
    <row r="18" spans="1:8" ht="12.75" customHeight="1" x14ac:dyDescent="0.2">
      <c r="A18" s="225">
        <v>4</v>
      </c>
      <c r="B18" s="226" t="s">
        <v>31</v>
      </c>
      <c r="C18" s="227">
        <v>0.17583333333333334</v>
      </c>
      <c r="D18" s="227">
        <v>4.1266369493860928</v>
      </c>
      <c r="E18" s="227">
        <v>194.96952132703973</v>
      </c>
      <c r="F18" s="228">
        <v>120.13681811352892</v>
      </c>
      <c r="G18" s="229">
        <v>32.448615565262642</v>
      </c>
      <c r="H18" s="230" t="s">
        <v>353</v>
      </c>
    </row>
    <row r="19" spans="1:8" ht="12.75" customHeight="1" x14ac:dyDescent="0.2">
      <c r="A19" s="219">
        <v>5</v>
      </c>
      <c r="B19" s="220" t="s">
        <v>32</v>
      </c>
      <c r="C19" s="221">
        <v>0.17816666666666667</v>
      </c>
      <c r="D19" s="221">
        <v>5.50659365464002</v>
      </c>
      <c r="E19" s="221">
        <v>244.80883722135221</v>
      </c>
      <c r="F19" s="222">
        <v>160.36013069901375</v>
      </c>
      <c r="G19" s="223">
        <v>32.488682908825979</v>
      </c>
      <c r="H19" s="224" t="s">
        <v>321</v>
      </c>
    </row>
    <row r="20" spans="1:8" ht="12.75" customHeight="1" x14ac:dyDescent="0.2">
      <c r="A20" s="225">
        <v>6</v>
      </c>
      <c r="B20" s="226" t="s">
        <v>33</v>
      </c>
      <c r="C20" s="227">
        <v>0.17983333333333335</v>
      </c>
      <c r="D20" s="227">
        <v>6.8555040667028484</v>
      </c>
      <c r="E20" s="227">
        <v>291.08616775672783</v>
      </c>
      <c r="F20" s="228">
        <v>199.67849840406021</v>
      </c>
      <c r="G20" s="229">
        <v>32.529867055280562</v>
      </c>
      <c r="H20" s="230" t="s">
        <v>353</v>
      </c>
    </row>
    <row r="21" spans="1:8" ht="12.75" customHeight="1" x14ac:dyDescent="0.2">
      <c r="A21" s="219">
        <v>7</v>
      </c>
      <c r="B21" s="220" t="s">
        <v>34</v>
      </c>
      <c r="C21" s="221">
        <v>0.17150000000000001</v>
      </c>
      <c r="D21" s="221">
        <v>5.223043938916363</v>
      </c>
      <c r="E21" s="221">
        <v>278.09369527080958</v>
      </c>
      <c r="F21" s="222">
        <v>152.09515484458697</v>
      </c>
      <c r="G21" s="223">
        <v>33.291527591809484</v>
      </c>
      <c r="H21" s="224" t="s">
        <v>321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2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37" t="s">
        <v>354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30" t="s">
        <v>24</v>
      </c>
      <c r="D4" s="14"/>
      <c r="E4" s="12" t="s">
        <v>40</v>
      </c>
      <c r="F4" s="12"/>
      <c r="G4" s="132">
        <v>0.45</v>
      </c>
      <c r="H4" s="44"/>
    </row>
    <row r="5" spans="1:8" ht="13.9" customHeight="1" x14ac:dyDescent="0.2">
      <c r="A5" s="17" t="s">
        <v>41</v>
      </c>
      <c r="B5" s="18"/>
      <c r="C5" s="136" t="s">
        <v>25</v>
      </c>
      <c r="D5" s="2"/>
      <c r="E5" s="18" t="s">
        <v>42</v>
      </c>
      <c r="F5" s="18"/>
      <c r="G5" s="132">
        <v>2</v>
      </c>
      <c r="H5" s="44"/>
    </row>
    <row r="6" spans="1:8" ht="13.9" customHeight="1" x14ac:dyDescent="0.2">
      <c r="A6" s="17" t="s">
        <v>43</v>
      </c>
      <c r="B6" s="18"/>
      <c r="C6" s="136" t="s">
        <v>26</v>
      </c>
      <c r="D6" s="2"/>
      <c r="E6" s="18" t="s">
        <v>44</v>
      </c>
      <c r="F6" s="18"/>
      <c r="G6" s="136" t="s">
        <v>311</v>
      </c>
      <c r="H6" s="20"/>
    </row>
    <row r="7" spans="1:8" ht="13.9" customHeight="1" x14ac:dyDescent="0.2">
      <c r="A7" s="17" t="s">
        <v>46</v>
      </c>
      <c r="B7" s="18"/>
      <c r="C7" s="136" t="s">
        <v>27</v>
      </c>
      <c r="D7" s="2"/>
      <c r="E7" s="18" t="s">
        <v>47</v>
      </c>
      <c r="F7" s="18"/>
      <c r="G7" s="136">
        <v>244</v>
      </c>
      <c r="H7" s="45"/>
    </row>
    <row r="8" spans="1:8" ht="14.45" customHeight="1" x14ac:dyDescent="0.2">
      <c r="A8" s="17" t="s">
        <v>49</v>
      </c>
      <c r="B8" s="18"/>
      <c r="C8" s="136" t="s">
        <v>313</v>
      </c>
      <c r="D8" s="2"/>
      <c r="E8" s="18" t="s">
        <v>50</v>
      </c>
      <c r="F8" s="18"/>
      <c r="G8" s="136">
        <v>4</v>
      </c>
      <c r="H8" s="20"/>
    </row>
    <row r="9" spans="1:8" s="4" customFormat="1" ht="16.899999999999999" customHeight="1" x14ac:dyDescent="0.2">
      <c r="A9" s="17" t="s">
        <v>51</v>
      </c>
      <c r="B9" s="18"/>
      <c r="C9" s="136" t="s">
        <v>313</v>
      </c>
      <c r="D9" s="2"/>
      <c r="E9" s="18" t="s">
        <v>53</v>
      </c>
      <c r="F9" s="18"/>
      <c r="G9" s="140">
        <v>1</v>
      </c>
      <c r="H9" s="47"/>
    </row>
    <row r="10" spans="1:8" s="4" customFormat="1" ht="12.75" customHeight="1" x14ac:dyDescent="0.2">
      <c r="A10" s="22" t="s">
        <v>54</v>
      </c>
      <c r="B10" s="23"/>
      <c r="C10" s="144">
        <v>44754.551724537036</v>
      </c>
      <c r="D10" s="25"/>
      <c r="E10" s="23" t="s">
        <v>55</v>
      </c>
      <c r="F10" s="23"/>
      <c r="G10" s="146">
        <v>1</v>
      </c>
      <c r="H10" s="50"/>
    </row>
    <row r="11" spans="1:8" s="4" customFormat="1" ht="12.75" customHeight="1" x14ac:dyDescent="0.2">
      <c r="A11" s="231"/>
      <c r="B11" s="231"/>
      <c r="C11" s="232"/>
      <c r="F11" s="231"/>
      <c r="G11" s="231"/>
      <c r="H11" s="233"/>
    </row>
    <row r="12" spans="1:8" ht="13.9" customHeight="1" x14ac:dyDescent="0.2"/>
    <row r="13" spans="1:8" ht="12.75" customHeight="1" x14ac:dyDescent="0.2">
      <c r="A13" s="234" t="s">
        <v>355</v>
      </c>
      <c r="B13" s="234" t="s">
        <v>356</v>
      </c>
      <c r="C13" s="234" t="s">
        <v>357</v>
      </c>
      <c r="D13" s="234"/>
    </row>
    <row r="14" spans="1:8" ht="12.75" customHeight="1" x14ac:dyDescent="0.2">
      <c r="A14" s="235" t="s">
        <v>358</v>
      </c>
      <c r="B14" s="235" t="s">
        <v>67</v>
      </c>
      <c r="C14" s="235"/>
      <c r="D14" s="235"/>
    </row>
    <row r="15" spans="1:8" ht="15" customHeight="1" x14ac:dyDescent="0.2">
      <c r="A15" s="236" t="s">
        <v>359</v>
      </c>
      <c r="B15" s="236" t="s">
        <v>23</v>
      </c>
      <c r="C15" s="236" t="s">
        <v>360</v>
      </c>
      <c r="D15" s="236"/>
    </row>
    <row r="16" spans="1:8" ht="15" customHeight="1" x14ac:dyDescent="0.2">
      <c r="A16" s="236" t="s">
        <v>359</v>
      </c>
      <c r="B16" s="236" t="s">
        <v>23</v>
      </c>
      <c r="C16" s="236" t="s">
        <v>361</v>
      </c>
      <c r="D16" s="236"/>
    </row>
    <row r="17" spans="1:4" ht="15" customHeight="1" x14ac:dyDescent="0.2">
      <c r="A17" s="236" t="s">
        <v>359</v>
      </c>
      <c r="B17" s="236" t="s">
        <v>362</v>
      </c>
      <c r="C17" s="236" t="s">
        <v>363</v>
      </c>
      <c r="D17" s="236"/>
    </row>
    <row r="18" spans="1:4" ht="15" customHeight="1" x14ac:dyDescent="0.2">
      <c r="A18" s="236" t="s">
        <v>359</v>
      </c>
      <c r="B18" s="236" t="s">
        <v>362</v>
      </c>
      <c r="C18" s="236" t="s">
        <v>364</v>
      </c>
      <c r="D18" s="236"/>
    </row>
    <row r="19" spans="1:4" ht="15" customHeight="1" x14ac:dyDescent="0.2">
      <c r="A19" s="236" t="s">
        <v>359</v>
      </c>
      <c r="B19" s="236" t="s">
        <v>362</v>
      </c>
      <c r="C19" s="236" t="s">
        <v>365</v>
      </c>
      <c r="D19" s="236"/>
    </row>
    <row r="20" spans="1:4" ht="15" customHeight="1" x14ac:dyDescent="0.2">
      <c r="A20" s="236" t="s">
        <v>359</v>
      </c>
      <c r="B20" s="236" t="s">
        <v>362</v>
      </c>
      <c r="C20" s="236" t="s">
        <v>366</v>
      </c>
      <c r="D20" s="236"/>
    </row>
    <row r="21" spans="1:4" ht="15" customHeight="1" x14ac:dyDescent="0.2">
      <c r="A21" s="236" t="s">
        <v>359</v>
      </c>
      <c r="B21" s="236" t="s">
        <v>362</v>
      </c>
      <c r="C21" s="236" t="s">
        <v>367</v>
      </c>
      <c r="D21" s="236"/>
    </row>
    <row r="22" spans="1:4" ht="15" customHeight="1" x14ac:dyDescent="0.2">
      <c r="A22" s="236" t="s">
        <v>359</v>
      </c>
      <c r="B22" s="236" t="s">
        <v>362</v>
      </c>
      <c r="C22" s="236" t="s">
        <v>368</v>
      </c>
      <c r="D22" s="236"/>
    </row>
    <row r="23" spans="1:4" ht="15" customHeight="1" x14ac:dyDescent="0.2">
      <c r="A23" s="236" t="s">
        <v>359</v>
      </c>
      <c r="B23" s="236" t="s">
        <v>362</v>
      </c>
      <c r="C23" s="236" t="s">
        <v>369</v>
      </c>
      <c r="D23" s="236"/>
    </row>
    <row r="24" spans="1:4" ht="15" customHeight="1" x14ac:dyDescent="0.2">
      <c r="A24" s="236" t="s">
        <v>359</v>
      </c>
      <c r="B24" s="236" t="s">
        <v>362</v>
      </c>
      <c r="C24" s="236" t="s">
        <v>370</v>
      </c>
      <c r="D24" s="236"/>
    </row>
    <row r="25" spans="1:4" ht="15" customHeight="1" x14ac:dyDescent="0.2">
      <c r="A25" s="236" t="s">
        <v>359</v>
      </c>
      <c r="B25" s="236" t="s">
        <v>362</v>
      </c>
      <c r="C25" s="236" t="s">
        <v>371</v>
      </c>
      <c r="D25" s="236"/>
    </row>
    <row r="26" spans="1:4" ht="15" customHeight="1" x14ac:dyDescent="0.2">
      <c r="A26" s="236" t="s">
        <v>359</v>
      </c>
      <c r="B26" s="236" t="s">
        <v>362</v>
      </c>
      <c r="C26" s="236" t="s">
        <v>372</v>
      </c>
      <c r="D26" s="236"/>
    </row>
    <row r="27" spans="1:4" ht="15" customHeight="1" x14ac:dyDescent="0.2">
      <c r="A27" s="236" t="s">
        <v>359</v>
      </c>
      <c r="B27" s="236" t="s">
        <v>362</v>
      </c>
      <c r="C27" s="236" t="s">
        <v>373</v>
      </c>
      <c r="D27" s="236"/>
    </row>
    <row r="28" spans="1:4" ht="15" customHeight="1" x14ac:dyDescent="0.2">
      <c r="A28" s="236" t="s">
        <v>359</v>
      </c>
      <c r="B28" s="236" t="s">
        <v>362</v>
      </c>
      <c r="C28" s="236" t="s">
        <v>374</v>
      </c>
      <c r="D28" s="236"/>
    </row>
    <row r="29" spans="1:4" ht="15" customHeight="1" x14ac:dyDescent="0.2">
      <c r="A29" s="236" t="s">
        <v>359</v>
      </c>
      <c r="B29" s="236" t="s">
        <v>362</v>
      </c>
      <c r="C29" s="236" t="s">
        <v>375</v>
      </c>
      <c r="D29" s="236"/>
    </row>
    <row r="30" spans="1:4" ht="15" customHeight="1" x14ac:dyDescent="0.2">
      <c r="A30" s="236" t="s">
        <v>359</v>
      </c>
      <c r="B30" s="236" t="s">
        <v>362</v>
      </c>
      <c r="C30" s="236" t="s">
        <v>376</v>
      </c>
      <c r="D30" s="236"/>
    </row>
    <row r="31" spans="1:4" ht="15" customHeight="1" x14ac:dyDescent="0.2">
      <c r="A31" s="236" t="s">
        <v>359</v>
      </c>
      <c r="B31" s="236" t="s">
        <v>362</v>
      </c>
      <c r="C31" s="236" t="s">
        <v>377</v>
      </c>
      <c r="D31" s="236"/>
    </row>
    <row r="32" spans="1:4" ht="15" customHeight="1" x14ac:dyDescent="0.2">
      <c r="A32" s="236" t="s">
        <v>359</v>
      </c>
      <c r="B32" s="236" t="s">
        <v>362</v>
      </c>
      <c r="C32" s="236" t="s">
        <v>378</v>
      </c>
      <c r="D32" s="236"/>
    </row>
    <row r="33" spans="1:4" ht="15" customHeight="1" x14ac:dyDescent="0.2">
      <c r="A33" s="236" t="s">
        <v>359</v>
      </c>
      <c r="B33" s="236" t="s">
        <v>362</v>
      </c>
      <c r="C33" s="236" t="s">
        <v>379</v>
      </c>
      <c r="D33" s="236"/>
    </row>
    <row r="34" spans="1:4" ht="15" customHeight="1" x14ac:dyDescent="0.2">
      <c r="A34" s="236" t="s">
        <v>359</v>
      </c>
      <c r="B34" s="236" t="s">
        <v>362</v>
      </c>
      <c r="C34" s="236" t="s">
        <v>380</v>
      </c>
      <c r="D34" s="236"/>
    </row>
    <row r="35" spans="1:4" ht="15" customHeight="1" x14ac:dyDescent="0.2">
      <c r="A35" s="236" t="s">
        <v>359</v>
      </c>
      <c r="B35" s="236" t="s">
        <v>362</v>
      </c>
      <c r="C35" s="236" t="s">
        <v>381</v>
      </c>
      <c r="D35" s="236"/>
    </row>
    <row r="36" spans="1:4" ht="15" customHeight="1" x14ac:dyDescent="0.2">
      <c r="A36" s="236" t="s">
        <v>359</v>
      </c>
      <c r="B36" s="236" t="s">
        <v>362</v>
      </c>
      <c r="C36" s="236" t="s">
        <v>382</v>
      </c>
      <c r="D36" s="236"/>
    </row>
    <row r="37" spans="1:4" ht="15" customHeight="1" x14ac:dyDescent="0.2">
      <c r="A37" s="236" t="s">
        <v>359</v>
      </c>
      <c r="B37" s="236" t="s">
        <v>362</v>
      </c>
      <c r="C37" s="236" t="s">
        <v>383</v>
      </c>
      <c r="D37" s="236"/>
    </row>
    <row r="38" spans="1:4" ht="15" customHeight="1" x14ac:dyDescent="0.2">
      <c r="A38" s="236" t="s">
        <v>359</v>
      </c>
      <c r="B38" s="236" t="s">
        <v>362</v>
      </c>
      <c r="C38" s="236" t="s">
        <v>384</v>
      </c>
      <c r="D38" s="236"/>
    </row>
    <row r="39" spans="1:4" ht="15" customHeight="1" x14ac:dyDescent="0.2">
      <c r="A39" s="236" t="s">
        <v>359</v>
      </c>
      <c r="B39" s="236" t="s">
        <v>362</v>
      </c>
      <c r="C39" s="236" t="s">
        <v>385</v>
      </c>
      <c r="D39" s="236"/>
    </row>
    <row r="40" spans="1:4" ht="15" customHeight="1" x14ac:dyDescent="0.2">
      <c r="A40" s="236" t="s">
        <v>359</v>
      </c>
      <c r="B40" s="236" t="s">
        <v>362</v>
      </c>
      <c r="C40" s="236" t="s">
        <v>386</v>
      </c>
      <c r="D40" s="236"/>
    </row>
    <row r="41" spans="1:4" ht="15" customHeight="1" x14ac:dyDescent="0.2">
      <c r="A41" s="236" t="s">
        <v>359</v>
      </c>
      <c r="B41" s="236" t="s">
        <v>362</v>
      </c>
      <c r="C41" s="236" t="s">
        <v>387</v>
      </c>
      <c r="D41" s="236"/>
    </row>
    <row r="42" spans="1:4" ht="15" customHeight="1" x14ac:dyDescent="0.2">
      <c r="A42" s="236" t="s">
        <v>359</v>
      </c>
      <c r="B42" s="236" t="s">
        <v>362</v>
      </c>
      <c r="C42" s="236" t="s">
        <v>388</v>
      </c>
      <c r="D42" s="236"/>
    </row>
    <row r="43" spans="1:4" ht="15" customHeight="1" x14ac:dyDescent="0.2">
      <c r="A43" s="236" t="s">
        <v>389</v>
      </c>
      <c r="B43" s="236" t="s">
        <v>362</v>
      </c>
      <c r="C43" s="236" t="s">
        <v>390</v>
      </c>
      <c r="D43" s="236"/>
    </row>
    <row r="44" spans="1:4" ht="15" customHeight="1" x14ac:dyDescent="0.2">
      <c r="A44" s="236" t="s">
        <v>389</v>
      </c>
      <c r="B44" s="236" t="s">
        <v>362</v>
      </c>
      <c r="C44" s="236" t="s">
        <v>391</v>
      </c>
      <c r="D44" s="236"/>
    </row>
    <row r="45" spans="1:4" ht="15" customHeight="1" x14ac:dyDescent="0.2">
      <c r="A45" s="236" t="s">
        <v>389</v>
      </c>
      <c r="B45" s="236" t="s">
        <v>362</v>
      </c>
      <c r="C45" s="236" t="s">
        <v>392</v>
      </c>
      <c r="D45" s="236"/>
    </row>
    <row r="46" spans="1:4" ht="15" customHeight="1" x14ac:dyDescent="0.2">
      <c r="A46" s="236" t="s">
        <v>389</v>
      </c>
      <c r="B46" s="236" t="s">
        <v>362</v>
      </c>
      <c r="C46" s="236" t="s">
        <v>393</v>
      </c>
      <c r="D46" s="236"/>
    </row>
    <row r="47" spans="1:4" ht="15" customHeight="1" x14ac:dyDescent="0.2">
      <c r="A47" s="236" t="s">
        <v>389</v>
      </c>
      <c r="B47" s="236" t="s">
        <v>362</v>
      </c>
      <c r="C47" s="236" t="s">
        <v>394</v>
      </c>
      <c r="D47" s="236"/>
    </row>
    <row r="48" spans="1:4" ht="15" customHeight="1" x14ac:dyDescent="0.2">
      <c r="A48" s="236" t="s">
        <v>389</v>
      </c>
      <c r="B48" s="236" t="s">
        <v>362</v>
      </c>
      <c r="C48" s="236" t="s">
        <v>395</v>
      </c>
      <c r="D48" s="236"/>
    </row>
    <row r="49" spans="1:4" ht="15" customHeight="1" x14ac:dyDescent="0.2">
      <c r="A49" s="236" t="s">
        <v>396</v>
      </c>
      <c r="B49" s="236" t="s">
        <v>362</v>
      </c>
      <c r="C49" s="236" t="s">
        <v>397</v>
      </c>
      <c r="D49" s="236"/>
    </row>
    <row r="50" spans="1:4" ht="15" customHeight="1" x14ac:dyDescent="0.2">
      <c r="A50" s="236" t="s">
        <v>396</v>
      </c>
      <c r="B50" s="236" t="s">
        <v>362</v>
      </c>
      <c r="C50" s="236" t="s">
        <v>398</v>
      </c>
      <c r="D50" s="236"/>
    </row>
    <row r="51" spans="1:4" ht="15" customHeight="1" x14ac:dyDescent="0.2">
      <c r="A51" s="236" t="s">
        <v>396</v>
      </c>
      <c r="B51" s="236" t="s">
        <v>362</v>
      </c>
      <c r="C51" s="236" t="s">
        <v>399</v>
      </c>
      <c r="D51" s="236"/>
    </row>
    <row r="52" spans="1:4" ht="15" customHeight="1" x14ac:dyDescent="0.2">
      <c r="A52" s="236" t="s">
        <v>396</v>
      </c>
      <c r="B52" s="236" t="s">
        <v>362</v>
      </c>
      <c r="C52" s="236" t="s">
        <v>400</v>
      </c>
      <c r="D52" s="236"/>
    </row>
    <row r="53" spans="1:4" ht="15" customHeight="1" x14ac:dyDescent="0.2">
      <c r="A53" s="236" t="s">
        <v>396</v>
      </c>
      <c r="B53" s="236" t="s">
        <v>362</v>
      </c>
      <c r="C53" s="236" t="s">
        <v>401</v>
      </c>
      <c r="D53" s="236"/>
    </row>
    <row r="54" spans="1:4" ht="15" customHeight="1" x14ac:dyDescent="0.2">
      <c r="A54" s="236" t="s">
        <v>396</v>
      </c>
      <c r="B54" s="236" t="s">
        <v>362</v>
      </c>
      <c r="C54" s="236" t="s">
        <v>402</v>
      </c>
      <c r="D54" s="236"/>
    </row>
    <row r="55" spans="1:4" ht="15" customHeight="1" x14ac:dyDescent="0.2">
      <c r="A55" s="236" t="s">
        <v>396</v>
      </c>
      <c r="B55" s="236" t="s">
        <v>362</v>
      </c>
      <c r="C55" s="236" t="s">
        <v>403</v>
      </c>
      <c r="D55" s="236"/>
    </row>
    <row r="56" spans="1:4" ht="15" customHeight="1" x14ac:dyDescent="0.2">
      <c r="A56" s="236" t="s">
        <v>396</v>
      </c>
      <c r="B56" s="236" t="s">
        <v>362</v>
      </c>
      <c r="C56" s="236" t="s">
        <v>404</v>
      </c>
      <c r="D56" s="236"/>
    </row>
    <row r="57" spans="1:4" ht="15" customHeight="1" x14ac:dyDescent="0.2">
      <c r="A57" s="236" t="s">
        <v>396</v>
      </c>
      <c r="B57" s="236" t="s">
        <v>362</v>
      </c>
      <c r="C57" s="236" t="s">
        <v>405</v>
      </c>
      <c r="D57" s="236"/>
    </row>
    <row r="58" spans="1:4" ht="15" customHeight="1" x14ac:dyDescent="0.2">
      <c r="A58" s="236" t="s">
        <v>396</v>
      </c>
      <c r="B58" s="236" t="s">
        <v>362</v>
      </c>
      <c r="C58" s="236" t="s">
        <v>406</v>
      </c>
      <c r="D58" s="236"/>
    </row>
    <row r="59" spans="1:4" ht="15" customHeight="1" x14ac:dyDescent="0.2">
      <c r="A59" s="236" t="s">
        <v>396</v>
      </c>
      <c r="B59" s="236" t="s">
        <v>362</v>
      </c>
      <c r="C59" s="236" t="s">
        <v>407</v>
      </c>
      <c r="D59" s="236"/>
    </row>
    <row r="60" spans="1:4" ht="15" customHeight="1" x14ac:dyDescent="0.2">
      <c r="A60" s="236" t="s">
        <v>396</v>
      </c>
      <c r="B60" s="236" t="s">
        <v>362</v>
      </c>
      <c r="C60" s="236" t="s">
        <v>408</v>
      </c>
      <c r="D60" s="236"/>
    </row>
    <row r="61" spans="1:4" ht="15" customHeight="1" x14ac:dyDescent="0.2">
      <c r="A61" s="236" t="s">
        <v>409</v>
      </c>
      <c r="B61" s="236" t="s">
        <v>410</v>
      </c>
      <c r="C61" s="236" t="s">
        <v>403</v>
      </c>
      <c r="D61" s="236"/>
    </row>
    <row r="62" spans="1:4" ht="15" customHeight="1" x14ac:dyDescent="0.2">
      <c r="A62" s="236" t="s">
        <v>409</v>
      </c>
      <c r="B62" s="236" t="s">
        <v>410</v>
      </c>
      <c r="C62" s="236" t="s">
        <v>411</v>
      </c>
      <c r="D62" s="236"/>
    </row>
    <row r="63" spans="1:4" ht="15" customHeight="1" x14ac:dyDescent="0.2">
      <c r="A63" s="236" t="s">
        <v>409</v>
      </c>
      <c r="B63" s="236" t="s">
        <v>410</v>
      </c>
      <c r="C63" s="236" t="s">
        <v>405</v>
      </c>
      <c r="D63" s="236"/>
    </row>
    <row r="64" spans="1:4" ht="15" customHeight="1" x14ac:dyDescent="0.2">
      <c r="A64" s="236" t="s">
        <v>409</v>
      </c>
      <c r="B64" s="236" t="s">
        <v>410</v>
      </c>
      <c r="C64" s="236" t="s">
        <v>406</v>
      </c>
      <c r="D64" s="236"/>
    </row>
    <row r="65" spans="1:4" ht="15" customHeight="1" x14ac:dyDescent="0.2">
      <c r="A65" s="236" t="s">
        <v>409</v>
      </c>
      <c r="B65" s="236" t="s">
        <v>410</v>
      </c>
      <c r="C65" s="236" t="s">
        <v>407</v>
      </c>
      <c r="D65" s="236"/>
    </row>
    <row r="66" spans="1:4" ht="15" customHeight="1" x14ac:dyDescent="0.2">
      <c r="A66" s="236" t="s">
        <v>412</v>
      </c>
      <c r="B66" s="236" t="s">
        <v>413</v>
      </c>
      <c r="C66" s="236" t="s">
        <v>403</v>
      </c>
      <c r="D66" s="236"/>
    </row>
    <row r="67" spans="1:4" ht="15" customHeight="1" x14ac:dyDescent="0.2">
      <c r="A67" s="236" t="s">
        <v>412</v>
      </c>
      <c r="B67" s="236" t="s">
        <v>413</v>
      </c>
      <c r="C67" s="236" t="s">
        <v>411</v>
      </c>
      <c r="D67" s="236"/>
    </row>
    <row r="68" spans="1:4" ht="15" customHeight="1" x14ac:dyDescent="0.2">
      <c r="A68" s="236" t="s">
        <v>412</v>
      </c>
      <c r="B68" s="236" t="s">
        <v>413</v>
      </c>
      <c r="C68" s="236" t="s">
        <v>405</v>
      </c>
      <c r="D68" s="236"/>
    </row>
    <row r="69" spans="1:4" ht="15" customHeight="1" x14ac:dyDescent="0.2">
      <c r="A69" s="236" t="s">
        <v>412</v>
      </c>
      <c r="B69" s="236" t="s">
        <v>413</v>
      </c>
      <c r="C69" s="236" t="s">
        <v>406</v>
      </c>
      <c r="D69" s="236"/>
    </row>
    <row r="70" spans="1:4" ht="15" customHeight="1" x14ac:dyDescent="0.2">
      <c r="A70" s="236" t="s">
        <v>412</v>
      </c>
      <c r="B70" s="236" t="s">
        <v>413</v>
      </c>
      <c r="C70" s="236" t="s">
        <v>407</v>
      </c>
      <c r="D70" s="236"/>
    </row>
    <row r="71" spans="1:4" ht="15" customHeight="1" x14ac:dyDescent="0.2">
      <c r="A71" s="236" t="s">
        <v>412</v>
      </c>
      <c r="B71" s="236" t="s">
        <v>413</v>
      </c>
      <c r="C71" s="236" t="s">
        <v>414</v>
      </c>
      <c r="D71" s="236"/>
    </row>
    <row r="72" spans="1:4" ht="15" customHeight="1" x14ac:dyDescent="0.2">
      <c r="A72" s="236" t="s">
        <v>412</v>
      </c>
      <c r="B72" s="236" t="s">
        <v>413</v>
      </c>
      <c r="C72" s="236" t="s">
        <v>415</v>
      </c>
      <c r="D72" s="236"/>
    </row>
    <row r="73" spans="1:4" ht="15" customHeight="1" x14ac:dyDescent="0.2">
      <c r="A73" s="236" t="s">
        <v>412</v>
      </c>
      <c r="B73" s="236" t="s">
        <v>413</v>
      </c>
      <c r="C73" s="236" t="s">
        <v>416</v>
      </c>
      <c r="D73" s="236"/>
    </row>
    <row r="74" spans="1:4" ht="15" customHeight="1" x14ac:dyDescent="0.2">
      <c r="A74" s="236" t="s">
        <v>412</v>
      </c>
      <c r="B74" s="236" t="s">
        <v>413</v>
      </c>
      <c r="C74" s="236" t="s">
        <v>417</v>
      </c>
      <c r="D74" s="236"/>
    </row>
    <row r="75" spans="1:4" ht="15" customHeight="1" x14ac:dyDescent="0.2">
      <c r="A75" s="236" t="s">
        <v>412</v>
      </c>
      <c r="B75" s="236" t="s">
        <v>413</v>
      </c>
      <c r="C75" s="236" t="s">
        <v>418</v>
      </c>
      <c r="D75" s="236"/>
    </row>
    <row r="76" spans="1:4" ht="15" customHeight="1" x14ac:dyDescent="0.2">
      <c r="A76" s="236" t="s">
        <v>412</v>
      </c>
      <c r="B76" s="236" t="s">
        <v>419</v>
      </c>
      <c r="C76" s="236" t="s">
        <v>420</v>
      </c>
      <c r="D76" s="236"/>
    </row>
    <row r="77" spans="1:4" ht="15" customHeight="1" x14ac:dyDescent="0.2">
      <c r="A77" s="236" t="s">
        <v>412</v>
      </c>
      <c r="B77" s="236" t="s">
        <v>419</v>
      </c>
      <c r="C77" s="236" t="s">
        <v>421</v>
      </c>
      <c r="D77" s="236"/>
    </row>
    <row r="78" spans="1:4" ht="15" customHeight="1" x14ac:dyDescent="0.2">
      <c r="A78" s="236" t="s">
        <v>412</v>
      </c>
      <c r="B78" s="236" t="s">
        <v>419</v>
      </c>
      <c r="C78" s="236" t="s">
        <v>421</v>
      </c>
      <c r="D78" s="236"/>
    </row>
    <row r="79" spans="1:4" ht="15" customHeight="1" x14ac:dyDescent="0.2">
      <c r="A79" s="236" t="s">
        <v>412</v>
      </c>
      <c r="B79" s="236" t="s">
        <v>419</v>
      </c>
      <c r="C79" s="236" t="s">
        <v>421</v>
      </c>
      <c r="D79" s="236"/>
    </row>
    <row r="80" spans="1:4" ht="15" customHeight="1" x14ac:dyDescent="0.2">
      <c r="A80" s="236" t="s">
        <v>412</v>
      </c>
      <c r="B80" s="236" t="s">
        <v>23</v>
      </c>
      <c r="C80" s="236" t="s">
        <v>422</v>
      </c>
      <c r="D80" s="236"/>
    </row>
    <row r="81" spans="1:4" ht="15" customHeight="1" x14ac:dyDescent="0.2">
      <c r="A81" s="236" t="s">
        <v>412</v>
      </c>
      <c r="B81" s="236" t="s">
        <v>23</v>
      </c>
      <c r="C81" s="236" t="s">
        <v>423</v>
      </c>
      <c r="D81" s="236"/>
    </row>
    <row r="82" spans="1:4" ht="15" customHeight="1" x14ac:dyDescent="0.2">
      <c r="A82" s="236" t="s">
        <v>412</v>
      </c>
      <c r="B82" s="236" t="s">
        <v>23</v>
      </c>
      <c r="C82" s="236" t="s">
        <v>424</v>
      </c>
      <c r="D82" s="236"/>
    </row>
    <row r="83" spans="1:4" ht="12.75" customHeight="1" x14ac:dyDescent="0.2">
      <c r="A83" s="41"/>
      <c r="B83" s="41"/>
      <c r="C83" s="41"/>
      <c r="D83" s="41"/>
    </row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37" t="s">
        <v>56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Williamson, Ruth (MU-Student)</cp:lastModifiedBy>
  <dcterms:created xsi:type="dcterms:W3CDTF">2020-07-23T19:30:44Z</dcterms:created>
  <dcterms:modified xsi:type="dcterms:W3CDTF">2026-10-16T20:30:16Z</dcterms:modified>
</cp:coreProperties>
</file>