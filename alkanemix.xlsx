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778fcdd3bf9611/Documents/github_projects/phytoncide_untargeted_targeted/"/>
    </mc:Choice>
  </mc:AlternateContent>
  <xr:revisionPtr revIDLastSave="9" documentId="11_62EEC57C70B534CB5016C4624F651B2CD20C2DDD" xr6:coauthVersionLast="47" xr6:coauthVersionMax="47" xr10:uidLastSave="{CB8F90F2-1C51-40A1-B3BF-BB4626945AA9}"/>
  <bookViews>
    <workbookView xWindow="28680" yWindow="-120" windowWidth="29040" windowHeight="15720" tabRatio="845" firstSheet="1" activeTab="3" autoFilterDateGrouping="0" xr2:uid="{00000000-000D-0000-FFFF-FFFF00000000}"/>
  </bookViews>
  <sheets>
    <sheet name="Overview" sheetId="1" state="hidden" r:id="rId1"/>
    <sheet name="Integration" sheetId="2" r:id="rId2"/>
    <sheet name="copy" sheetId="9" r:id="rId3"/>
    <sheet name="Sheet2" sheetId="10" r:id="rId4"/>
    <sheet name="Calibration" sheetId="3" state="hidden" r:id="rId5"/>
    <sheet name="Peak Analysis" sheetId="4" state="hidden" r:id="rId6"/>
    <sheet name="SST" sheetId="5" state="hidden" r:id="rId7"/>
    <sheet name="Summary" sheetId="6" state="hidden" r:id="rId8"/>
    <sheet name="Injection Audit Trail" sheetId="7" state="hidden" r:id="rId9"/>
    <sheet name="Chromatogram" sheetId="8" state="hidden" r:id="rId10"/>
  </sheets>
  <definedNames>
    <definedName name="_xlnm.Print_Area" localSheetId="4">Calibration!$A:$H</definedName>
    <definedName name="_xlnm.Print_Area" localSheetId="7">Summary!$A:$H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9" l="1"/>
  <c r="F57" i="9"/>
  <c r="E57" i="9"/>
  <c r="D57" i="9"/>
  <c r="G57" i="2"/>
  <c r="F57" i="2"/>
  <c r="E57" i="2"/>
  <c r="D57" i="2"/>
  <c r="C43" i="5"/>
</calcChain>
</file>

<file path=xl/sharedStrings.xml><?xml version="1.0" encoding="utf-8"?>
<sst xmlns="http://schemas.openxmlformats.org/spreadsheetml/2006/main" count="574" uniqueCount="154">
  <si>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</si>
  <si>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</si>
  <si>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</si>
  <si>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</si>
  <si>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</si>
  <si>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</si>
  <si>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</si>
  <si>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</si>
  <si>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</si>
  <si>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</si>
  <si>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</si>
  <si>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</si>
  <si>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</si>
  <si>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</si>
  <si>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</si>
  <si>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</si>
  <si>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</si>
  <si>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</si>
  <si>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</si>
  <si>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</si>
  <si>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</si>
  <si>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</si>
  <si>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</si>
  <si>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</si>
  <si>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</si>
  <si>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</si>
  <si>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</si>
  <si>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</si>
  <si>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</si>
  <si>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</si>
  <si>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</si>
  <si>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</si>
  <si>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</si>
  <si>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</si>
  <si>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</si>
  <si>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</si>
  <si>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</si>
  <si>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</si>
  <si>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</si>
  <si>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fto_alkane_mix</t>
  </si>
  <si>
    <t>Run Time (min):</t>
  </si>
  <si>
    <t>Vial Number:</t>
  </si>
  <si>
    <t>Injection Volume:</t>
  </si>
  <si>
    <t>Injection Type:</t>
  </si>
  <si>
    <t>Channel:</t>
  </si>
  <si>
    <t>MS Quantitation</t>
  </si>
  <si>
    <t>Calibration Level:</t>
  </si>
  <si>
    <t>Wavelength:</t>
  </si>
  <si>
    <t>n.a.</t>
  </si>
  <si>
    <t>Instrument Method:</t>
  </si>
  <si>
    <t>Bandwidth:</t>
  </si>
  <si>
    <t>Processing Method:</t>
  </si>
  <si>
    <t>alkane_mix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</si>
  <si>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</si>
  <si>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</si>
  <si>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</si>
  <si>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</si>
  <si>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</si>
  <si>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</si>
  <si>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</si>
  <si>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</si>
  <si>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</si>
  <si>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</si>
  <si>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</si>
  <si>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</si>
  <si>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</si>
  <si>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Peak Width </t>
  </si>
  <si>
    <t>min</t>
  </si>
  <si>
    <t>counts*min</t>
  </si>
  <si>
    <t>counts</t>
  </si>
  <si>
    <t>%</t>
  </si>
  <si>
    <t>MS Quantitation Peak</t>
  </si>
  <si>
    <t>Octane</t>
  </si>
  <si>
    <t>111-65-9</t>
  </si>
  <si>
    <t>Nonane</t>
  </si>
  <si>
    <t>111-84-2</t>
  </si>
  <si>
    <t>Decane</t>
  </si>
  <si>
    <t>124-18-5</t>
  </si>
  <si>
    <t>Undecane</t>
  </si>
  <si>
    <t>1120-21-4</t>
  </si>
  <si>
    <t>Dodecane</t>
  </si>
  <si>
    <t>112-40-3</t>
  </si>
  <si>
    <t>Tridecane</t>
  </si>
  <si>
    <t>629-50-5</t>
  </si>
  <si>
    <t>Tetradecane</t>
  </si>
  <si>
    <t>629-59-4</t>
  </si>
  <si>
    <t>Pentadecane</t>
  </si>
  <si>
    <t>629-62-9</t>
  </si>
  <si>
    <t>Hexadecane</t>
  </si>
  <si>
    <t>544-76-3</t>
  </si>
  <si>
    <t>Heptadecane</t>
  </si>
  <si>
    <t>629-78-7</t>
  </si>
  <si>
    <t>Octadecane</t>
  </si>
  <si>
    <t>593-45-3</t>
  </si>
  <si>
    <t>Nonadecane</t>
  </si>
  <si>
    <t>629-92-5</t>
  </si>
  <si>
    <t>Eicosane</t>
  </si>
  <si>
    <t>Total:</t>
  </si>
  <si>
    <t>Calibration</t>
  </si>
  <si>
    <t>Calibration Details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</si>
  <si>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</si>
  <si>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</si>
  <si>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</si>
  <si>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</si>
  <si>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</si>
  <si>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</si>
  <si>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</si>
  <si>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</si>
  <si>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</si>
  <si>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</si>
  <si>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</si>
  <si>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</si>
  <si>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</si>
  <si>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</si>
  <si>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</si>
  <si>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</si>
  <si>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</si>
  <si>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Unit?</t>
  </si>
  <si>
    <t>Peak Analysis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</si>
  <si>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</si>
  <si>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</si>
  <si>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</si>
  <si>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</si>
  <si>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</si>
  <si>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</si>
  <si>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</si>
  <si>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>BMB</t>
  </si>
  <si>
    <t xml:space="preserve"> MB</t>
  </si>
  <si>
    <t xml:space="preserve"> M </t>
  </si>
  <si>
    <t xml:space="preserve">BM 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</si>
  <si>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</si>
  <si>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</si>
  <si>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</si>
  <si>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</si>
  <si>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</si>
  <si>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</si>
  <si>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</si>
  <si>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 xml:space="preserve">Number of executed test cases: </t>
  </si>
  <si>
    <t xml:space="preserve">Total Result: </t>
  </si>
  <si>
    <t>Summary</t>
  </si>
  <si>
    <t>alkane_mix.AIA</t>
  </si>
  <si>
    <t>Ruth\Phytoncides\Missouri_Phyto_2026</t>
  </si>
  <si>
    <t>Thermo</t>
  </si>
  <si>
    <t>ChromeleonLocal</t>
  </si>
  <si>
    <t>ISQ7610</t>
  </si>
  <si>
    <t>By Component</t>
  </si>
  <si>
    <t xml:space="preserve">Amount </t>
  </si>
  <si>
    <t xml:space="preserve">Rel.Area </t>
  </si>
  <si>
    <t xml:space="preserve">Peak Type </t>
  </si>
  <si>
    <t>Injection Audit Trail</t>
  </si>
  <si>
    <t>Day Time</t>
  </si>
  <si>
    <t>Ret. Time</t>
  </si>
  <si>
    <t>Command/Message</t>
  </si>
  <si>
    <t>No audit trail available for the current injection.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</si>
</sst>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m/yy\ hh:mm:ss"/>
    <numFmt numFmtId="165" formatCode=";;"/>
    <numFmt numFmtId="166" formatCode="dd/mmm/yyyy\ hh:mm"/>
    <numFmt numFmtId="167" formatCode="0.0000"/>
    <numFmt numFmtId="168" formatCode="dd/mmm/yy\ hh:mm"/>
    <numFmt numFmtId="169" formatCode="dd/mm/yy\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 x14ac:knownFonts="1">
    <font>
      <sz val="10"/>
      <name val="Arial"/>
    </font>
    <font>
      <b/>
      <sz val="16"/>
      <name val="Calibri"/>
    </font>
    <font>
      <b/>
      <sz val="12"/>
      <name val="Calibri"/>
    </font>
    <font>
      <i/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6"/>
      <name val="Calibri"/>
    </font>
    <font>
      <b/>
      <sz val="10"/>
      <name val="Arial"/>
    </font>
    <font>
      <sz val="10"/>
      <name val="Arial"/>
    </font>
    <font>
      <b/>
      <sz val="12"/>
      <name val="Calibri"/>
    </font>
    <font>
      <i/>
      <sz val="10"/>
      <name val="Arial"/>
    </font>
    <font>
      <b/>
      <sz val="9"/>
      <name val="Arial"/>
    </font>
    <font>
      <b/>
      <sz val="10"/>
      <color rgb="FF0070C0"/>
      <name val="Arial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</patternFill>
    </fill>
    <fill>
      <patternFill patternType="solid">
        <fgColor rgb="FFFFCC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1"/>
  </cellStyleXfs>
  <cellXfs count="243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4" borderId="8" xfId="0" applyFont="1" applyFill="1" applyBorder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3" fillId="2" borderId="10" xfId="0" applyFont="1" applyBorder="1" applyAlignment="1">
      <alignment horizontal="left" vertical="center"/>
    </xf>
    <xf numFmtId="0" fontId="3" fillId="2" borderId="11" xfId="0" applyFont="1" applyBorder="1" applyAlignment="1">
      <alignment horizontal="left" vertical="center"/>
    </xf>
    <xf numFmtId="0" fontId="4" fillId="2" borderId="11" xfId="0" applyFont="1" applyBorder="1" applyAlignment="1">
      <alignment horizontal="left" vertical="center"/>
    </xf>
    <xf numFmtId="0" fontId="0" fillId="2" borderId="11" xfId="0" applyBorder="1" applyAlignment="1">
      <alignment horizontal="left" vertical="center"/>
    </xf>
    <xf numFmtId="164" fontId="4" fillId="2" borderId="12" xfId="0" applyNumberFormat="1" applyFont="1" applyBorder="1" applyAlignment="1">
      <alignment horizontal="left" vertical="center"/>
    </xf>
    <xf numFmtId="2" fontId="4" fillId="2" borderId="1" xfId="0" applyNumberFormat="1" applyFont="1" applyAlignment="1">
      <alignment horizontal="left" vertical="center"/>
    </xf>
    <xf numFmtId="0" fontId="3" fillId="2" borderId="8" xfId="0" applyFont="1" applyBorder="1" applyAlignment="1">
      <alignment horizontal="left" vertical="center"/>
    </xf>
    <xf numFmtId="0" fontId="3" fillId="2" borderId="1" xfId="0" applyFont="1" applyAlignment="1">
      <alignment horizontal="left" vertical="center"/>
    </xf>
    <xf numFmtId="0" fontId="4" fillId="2" borderId="1" xfId="0" applyFont="1" applyAlignment="1">
      <alignment horizontal="left" vertical="center"/>
    </xf>
    <xf numFmtId="0" fontId="4" fillId="2" borderId="9" xfId="0" applyFont="1" applyBorder="1" applyAlignment="1">
      <alignment horizontal="left" vertical="center"/>
    </xf>
    <xf numFmtId="164" fontId="4" fillId="2" borderId="9" xfId="0" applyNumberFormat="1" applyFont="1" applyBorder="1" applyAlignment="1">
      <alignment horizontal="left" vertical="center"/>
    </xf>
    <xf numFmtId="0" fontId="3" fillId="2" borderId="5" xfId="0" applyFont="1" applyBorder="1" applyAlignment="1">
      <alignment horizontal="left" vertical="center"/>
    </xf>
    <xf numFmtId="0" fontId="3" fillId="2" borderId="6" xfId="0" applyFont="1" applyBorder="1" applyAlignment="1">
      <alignment horizontal="left" vertical="center"/>
    </xf>
    <xf numFmtId="1" fontId="4" fillId="2" borderId="6" xfId="0" applyNumberFormat="1" applyFont="1" applyBorder="1" applyAlignment="1">
      <alignment horizontal="left" vertical="center"/>
    </xf>
    <xf numFmtId="0" fontId="0" fillId="2" borderId="6" xfId="0" applyBorder="1" applyAlignment="1">
      <alignment horizontal="left" vertical="center"/>
    </xf>
    <xf numFmtId="0" fontId="4" fillId="2" borderId="7" xfId="0" applyFont="1" applyBorder="1" applyAlignment="1">
      <alignment horizontal="left" vertical="center"/>
    </xf>
    <xf numFmtId="165" fontId="4" fillId="2" borderId="1" xfId="0" applyNumberFormat="1" applyFont="1" applyAlignment="1">
      <alignment horizontal="left" vertical="center"/>
    </xf>
    <xf numFmtId="1" fontId="4" fillId="2" borderId="1" xfId="0" applyNumberFormat="1" applyFont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1" fontId="5" fillId="6" borderId="19" xfId="0" applyNumberFormat="1" applyFont="1" applyFill="1" applyBorder="1"/>
    <xf numFmtId="0" fontId="5" fillId="6" borderId="19" xfId="0" applyFont="1" applyFill="1" applyBorder="1"/>
    <xf numFmtId="166" fontId="5" fillId="6" borderId="19" xfId="0" applyNumberFormat="1" applyFont="1" applyFill="1" applyBorder="1"/>
    <xf numFmtId="1" fontId="5" fillId="7" borderId="19" xfId="0" applyNumberFormat="1" applyFont="1" applyFill="1" applyBorder="1"/>
    <xf numFmtId="0" fontId="5" fillId="7" borderId="19" xfId="0" applyFont="1" applyFill="1" applyBorder="1"/>
    <xf numFmtId="166" fontId="5" fillId="7" borderId="19" xfId="0" applyNumberFormat="1" applyFont="1" applyFill="1" applyBorder="1"/>
    <xf numFmtId="0" fontId="0" fillId="2" borderId="20" xfId="0" applyBorder="1"/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2" fontId="4" fillId="2" borderId="9" xfId="0" applyNumberFormat="1" applyFont="1" applyBorder="1" applyAlignment="1">
      <alignment horizontal="left" vertical="center"/>
    </xf>
    <xf numFmtId="165" fontId="4" fillId="2" borderId="9" xfId="0" applyNumberFormat="1" applyFont="1" applyBorder="1" applyAlignment="1">
      <alignment horizontal="left" vertical="center"/>
    </xf>
    <xf numFmtId="167" fontId="4" fillId="2" borderId="1" xfId="0" applyNumberFormat="1" applyFont="1" applyAlignment="1">
      <alignment horizontal="left" vertical="center"/>
    </xf>
    <xf numFmtId="167" fontId="4" fillId="2" borderId="9" xfId="0" applyNumberFormat="1" applyFont="1" applyBorder="1" applyAlignment="1">
      <alignment horizontal="left" vertical="center"/>
    </xf>
    <xf numFmtId="168" fontId="4" fillId="2" borderId="6" xfId="0" applyNumberFormat="1" applyFont="1" applyBorder="1" applyAlignment="1">
      <alignment horizontal="left" vertical="center"/>
    </xf>
    <xf numFmtId="167" fontId="4" fillId="2" borderId="6" xfId="0" applyNumberFormat="1" applyFont="1" applyBorder="1" applyAlignment="1">
      <alignment horizontal="left" vertical="center"/>
    </xf>
    <xf numFmtId="167" fontId="4" fillId="2" borderId="7" xfId="0" applyNumberFormat="1" applyFont="1" applyBorder="1" applyAlignment="1">
      <alignment horizontal="left" vertical="center"/>
    </xf>
    <xf numFmtId="169" fontId="4" fillId="2" borderId="1" xfId="0" applyNumberFormat="1" applyFont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5" fillId="5" borderId="1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Font="1" applyFill="1" applyBorder="1" applyAlignment="1">
      <alignment vertical="center"/>
    </xf>
    <xf numFmtId="173" fontId="8" fillId="9" borderId="26" xfId="0" applyNumberFormat="1" applyFont="1" applyFill="1" applyBorder="1" applyAlignment="1">
      <alignment vertical="center"/>
    </xf>
    <xf numFmtId="0" fontId="8" fillId="9" borderId="26" xfId="0" applyFont="1" applyFill="1" applyBorder="1" applyAlignment="1">
      <alignment vertical="center"/>
    </xf>
    <xf numFmtId="170" fontId="7" fillId="9" borderId="26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2" fillId="4" borderId="31" xfId="0" applyFont="1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2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3" fillId="2" borderId="1" xfId="0" applyFont="1" applyAlignment="1">
      <alignment vertical="center"/>
    </xf>
    <xf numFmtId="167" fontId="0" fillId="2" borderId="9" xfId="0" applyNumberFormat="1" applyBorder="1" applyAlignment="1">
      <alignment horizontal="left" vertical="center"/>
    </xf>
    <xf numFmtId="174" fontId="0" fillId="2" borderId="1" xfId="0" applyNumberFormat="1"/>
    <xf numFmtId="1" fontId="0" fillId="2" borderId="1" xfId="0" applyNumberFormat="1" applyAlignment="1">
      <alignment horizontal="left" vertical="center"/>
    </xf>
    <xf numFmtId="0" fontId="0" fillId="2" borderId="6" xfId="0" applyBorder="1"/>
    <xf numFmtId="1" fontId="0" fillId="2" borderId="6" xfId="0" applyNumberFormat="1" applyBorder="1" applyAlignment="1">
      <alignment horizontal="left" vertical="center"/>
    </xf>
    <xf numFmtId="0" fontId="3" fillId="2" borderId="6" xfId="0" applyFont="1" applyBorder="1" applyAlignment="1">
      <alignment vertical="center"/>
    </xf>
    <xf numFmtId="0" fontId="0" fillId="2" borderId="6" xfId="0" applyBorder="1" applyAlignment="1">
      <alignment vertical="center"/>
    </xf>
    <xf numFmtId="167" fontId="0" fillId="2" borderId="7" xfId="0" applyNumberFormat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9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 vertical="center"/>
    </xf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/>
    </xf>
    <xf numFmtId="171" fontId="5" fillId="8" borderId="4" xfId="0" applyNumberFormat="1" applyFont="1" applyFill="1" applyBorder="1"/>
    <xf numFmtId="170" fontId="5" fillId="8" borderId="4" xfId="0" applyNumberFormat="1" applyFont="1" applyFill="1" applyBorder="1"/>
    <xf numFmtId="0" fontId="0" fillId="2" borderId="1" xfId="0" applyAlignment="1">
      <alignment horizontal="center" vertical="center"/>
    </xf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center"/>
    </xf>
    <xf numFmtId="171" fontId="5" fillId="8" borderId="24" xfId="0" applyNumberFormat="1" applyFont="1" applyFill="1" applyBorder="1"/>
    <xf numFmtId="170" fontId="5" fillId="8" borderId="24" xfId="0" applyNumberFormat="1" applyFont="1" applyFill="1" applyBorder="1"/>
    <xf numFmtId="0" fontId="9" fillId="4" borderId="8" xfId="0" applyFont="1" applyFill="1" applyBorder="1" applyAlignment="1">
      <alignment horizontal="left" vertical="center"/>
    </xf>
    <xf numFmtId="0" fontId="8" fillId="4" borderId="1" xfId="0" applyFont="1" applyFill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10" fillId="9" borderId="10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7" fillId="9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2" fontId="7" fillId="9" borderId="1" xfId="0" applyNumberFormat="1" applyFont="1" applyFill="1" applyAlignment="1">
      <alignment horizontal="left" vertical="center"/>
    </xf>
    <xf numFmtId="2" fontId="7" fillId="9" borderId="9" xfId="0" applyNumberFormat="1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/>
    </xf>
    <xf numFmtId="0" fontId="10" fillId="9" borderId="1" xfId="0" applyFont="1" applyFill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8" fillId="9" borderId="1" xfId="0" applyFont="1" applyFill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165" fontId="7" fillId="9" borderId="9" xfId="0" applyNumberFormat="1" applyFont="1" applyFill="1" applyBorder="1" applyAlignment="1">
      <alignment horizontal="left" vertical="center"/>
    </xf>
    <xf numFmtId="167" fontId="7" fillId="9" borderId="1" xfId="0" applyNumberFormat="1" applyFont="1" applyFill="1" applyAlignment="1">
      <alignment horizontal="left" vertical="center"/>
    </xf>
    <xf numFmtId="167" fontId="7" fillId="9" borderId="9" xfId="0" applyNumberFormat="1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/>
    </xf>
    <xf numFmtId="168" fontId="7" fillId="9" borderId="6" xfId="0" applyNumberFormat="1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167" fontId="7" fillId="9" borderId="6" xfId="0" applyNumberFormat="1" applyFont="1" applyFill="1" applyBorder="1" applyAlignment="1">
      <alignment horizontal="left" vertical="center"/>
    </xf>
    <xf numFmtId="167" fontId="7" fillId="9" borderId="7" xfId="0" applyNumberFormat="1" applyFont="1" applyFill="1" applyBorder="1" applyAlignment="1">
      <alignment horizontal="left" vertical="center"/>
    </xf>
    <xf numFmtId="0" fontId="2" fillId="10" borderId="34" xfId="0" applyFont="1" applyFill="1" applyBorder="1" applyAlignment="1">
      <alignment horizontal="left" vertical="center"/>
    </xf>
    <xf numFmtId="0" fontId="0" fillId="10" borderId="35" xfId="0" applyFill="1" applyBorder="1" applyAlignment="1">
      <alignment horizontal="left"/>
    </xf>
    <xf numFmtId="0" fontId="0" fillId="10" borderId="36" xfId="0" applyFill="1" applyBorder="1" applyAlignment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left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0" fillId="11" borderId="39" xfId="0" applyFill="1" applyBorder="1"/>
    <xf numFmtId="0" fontId="0" fillId="10" borderId="1" xfId="0" applyFill="1" applyAlignment="1">
      <alignment horizontal="left"/>
    </xf>
    <xf numFmtId="0" fontId="0" fillId="4" borderId="30" xfId="0" applyFill="1" applyBorder="1" applyAlignment="1">
      <alignment horizontal="left"/>
    </xf>
    <xf numFmtId="0" fontId="0" fillId="2" borderId="40" xfId="0" applyBorder="1" applyAlignment="1">
      <alignment vertical="center"/>
    </xf>
    <xf numFmtId="0" fontId="10" fillId="2" borderId="41" xfId="0" applyFont="1" applyBorder="1" applyAlignment="1">
      <alignment horizontal="left" vertical="center"/>
    </xf>
    <xf numFmtId="0" fontId="10" fillId="2" borderId="42" xfId="0" applyFont="1" applyBorder="1" applyAlignment="1">
      <alignment horizontal="left" vertical="center"/>
    </xf>
    <xf numFmtId="0" fontId="7" fillId="2" borderId="42" xfId="0" applyFont="1" applyBorder="1" applyAlignment="1">
      <alignment horizontal="left" vertical="center"/>
    </xf>
    <xf numFmtId="0" fontId="0" fillId="2" borderId="3" xfId="0" applyBorder="1" applyAlignment="1">
      <alignment horizontal="left" vertical="center"/>
    </xf>
    <xf numFmtId="2" fontId="7" fillId="2" borderId="43" xfId="0" applyNumberFormat="1" applyFont="1" applyBorder="1" applyAlignment="1">
      <alignment horizontal="left" vertical="center"/>
    </xf>
    <xf numFmtId="2" fontId="7" fillId="9" borderId="38" xfId="0" applyNumberFormat="1" applyFont="1" applyFill="1" applyBorder="1" applyAlignment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Font="1" applyBorder="1" applyAlignment="1">
      <alignment horizontal="left" vertical="center"/>
    </xf>
    <xf numFmtId="0" fontId="10" fillId="2" borderId="45" xfId="0" applyFont="1" applyBorder="1" applyAlignment="1">
      <alignment horizontal="left" vertical="center"/>
    </xf>
    <xf numFmtId="0" fontId="7" fillId="2" borderId="45" xfId="0" applyFont="1" applyBorder="1" applyAlignment="1">
      <alignment horizontal="left" vertical="center"/>
    </xf>
    <xf numFmtId="0" fontId="0" fillId="2" borderId="38" xfId="0" applyBorder="1" applyAlignment="1">
      <alignment horizontal="left" vertical="center"/>
    </xf>
    <xf numFmtId="2" fontId="7" fillId="2" borderId="46" xfId="0" applyNumberFormat="1" applyFont="1" applyBorder="1" applyAlignment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Font="1" applyBorder="1" applyAlignment="1">
      <alignment horizontal="left" vertical="center"/>
    </xf>
    <xf numFmtId="0" fontId="7" fillId="9" borderId="38" xfId="0" applyFont="1" applyFill="1" applyBorder="1" applyAlignment="1">
      <alignment horizontal="left" vertical="center"/>
    </xf>
    <xf numFmtId="165" fontId="7" fillId="9" borderId="38" xfId="0" applyNumberFormat="1" applyFont="1" applyFill="1" applyBorder="1" applyAlignment="1">
      <alignment horizontal="left" vertical="center"/>
    </xf>
    <xf numFmtId="167" fontId="7" fillId="2" borderId="46" xfId="0" applyNumberFormat="1" applyFont="1" applyBorder="1" applyAlignment="1">
      <alignment horizontal="left" vertical="center"/>
    </xf>
    <xf numFmtId="167" fontId="7" fillId="9" borderId="38" xfId="0" applyNumberFormat="1" applyFont="1" applyFill="1" applyBorder="1" applyAlignment="1">
      <alignment horizontal="left" vertical="center"/>
    </xf>
    <xf numFmtId="0" fontId="10" fillId="2" borderId="47" xfId="0" applyFont="1" applyBorder="1" applyAlignment="1">
      <alignment horizontal="left" vertical="center"/>
    </xf>
    <xf numFmtId="0" fontId="10" fillId="2" borderId="48" xfId="0" applyFont="1" applyBorder="1" applyAlignment="1">
      <alignment horizontal="left" vertical="center"/>
    </xf>
    <xf numFmtId="168" fontId="7" fillId="2" borderId="48" xfId="0" applyNumberFormat="1" applyFont="1" applyBorder="1" applyAlignment="1">
      <alignment horizontal="left" vertical="center"/>
    </xf>
    <xf numFmtId="0" fontId="0" fillId="2" borderId="49" xfId="0" applyBorder="1" applyAlignment="1">
      <alignment horizontal="left" vertical="center"/>
    </xf>
    <xf numFmtId="167" fontId="7" fillId="2" borderId="50" xfId="0" applyNumberFormat="1" applyFont="1" applyBorder="1" applyAlignment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Fill="1" applyBorder="1" applyAlignment="1">
      <alignment horizontal="left"/>
    </xf>
    <xf numFmtId="0" fontId="5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Font="1" applyFill="1" applyBorder="1" applyAlignment="1">
      <alignment vertical="center"/>
    </xf>
    <xf numFmtId="0" fontId="5" fillId="8" borderId="19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left" vertical="center"/>
    </xf>
    <xf numFmtId="0" fontId="7" fillId="9" borderId="52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vertical="center"/>
    </xf>
    <xf numFmtId="0" fontId="0" fillId="3" borderId="8" xfId="0" applyFill="1" applyBorder="1"/>
    <xf numFmtId="0" fontId="0" fillId="3" borderId="1" xfId="0" applyFill="1"/>
    <xf numFmtId="0" fontId="0" fillId="3" borderId="9" xfId="0" applyFill="1" applyBorder="1"/>
    <xf numFmtId="164" fontId="7" fillId="9" borderId="12" xfId="0" applyNumberFormat="1" applyFont="1" applyFill="1" applyBorder="1" applyAlignment="1">
      <alignment horizontal="left" vertical="center"/>
    </xf>
    <xf numFmtId="164" fontId="7" fillId="9" borderId="9" xfId="0" applyNumberFormat="1" applyFont="1" applyFill="1" applyBorder="1" applyAlignment="1">
      <alignment horizontal="left" vertical="center"/>
    </xf>
    <xf numFmtId="1" fontId="7" fillId="9" borderId="6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0" fillId="2" borderId="8" xfId="0" applyBorder="1"/>
    <xf numFmtId="0" fontId="0" fillId="2" borderId="9" xfId="0" applyBorder="1"/>
    <xf numFmtId="0" fontId="9" fillId="4" borderId="53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174" fontId="5" fillId="6" borderId="19" xfId="0" applyNumberFormat="1" applyFont="1" applyFill="1" applyBorder="1" applyAlignment="1">
      <alignment horizontal="center" vertical="center"/>
    </xf>
    <xf numFmtId="167" fontId="5" fillId="6" borderId="19" xfId="0" applyNumberFormat="1" applyFont="1" applyFill="1" applyBorder="1" applyAlignment="1">
      <alignment horizontal="center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174" fontId="5" fillId="7" borderId="19" xfId="0" applyNumberFormat="1" applyFont="1" applyFill="1" applyBorder="1" applyAlignment="1">
      <alignment horizontal="center" vertical="center"/>
    </xf>
    <xf numFmtId="167" fontId="5" fillId="7" borderId="19" xfId="0" applyNumberFormat="1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3" fillId="2" borderId="1" xfId="0" applyFont="1" applyAlignment="1">
      <alignment horizontal="left" vertical="top"/>
    </xf>
    <xf numFmtId="2" fontId="4" fillId="2" borderId="1" xfId="0" applyNumberFormat="1" applyFont="1" applyAlignment="1">
      <alignment horizontal="left" vertical="top"/>
    </xf>
    <xf numFmtId="175" fontId="4" fillId="2" borderId="1" xfId="0" applyNumberFormat="1" applyFont="1" applyAlignment="1">
      <alignment horizontal="left" vertical="top"/>
    </xf>
    <xf numFmtId="0" fontId="12" fillId="2" borderId="57" xfId="0" applyFont="1" applyBorder="1"/>
    <xf numFmtId="0" fontId="12" fillId="2" borderId="58" xfId="0" applyFont="1" applyBorder="1"/>
    <xf numFmtId="0" fontId="5" fillId="2" borderId="38" xfId="0" applyFont="1" applyBorder="1"/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1" xfId="0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B388CC-9C95-4E6C-8ABC-A11BAB5804C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0"/>
          <a:ext cx="739140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zoomScaleNormal="100" zoomScaleSheetLayoutView="100" workbookViewId="0">
      <selection sqref="A1:G1"/>
    </sheetView>
  </sheetViews>
  <sheetFormatPr defaultColWidth="9.140625" defaultRowHeight="12.75" x14ac:dyDescent="0.2"/>
  <cols>
    <col min="2" max="2" width="17.85546875" customWidth="1"/>
    <col min="3" max="3" width="8.42578125" customWidth="1"/>
    <col min="4" max="4" width="19.28515625" customWidth="1"/>
    <col min="5" max="5" width="8.140625" customWidth="1"/>
    <col min="6" max="6" width="20" customWidth="1"/>
    <col min="7" max="7" width="18.7109375" customWidth="1"/>
  </cols>
  <sheetData>
    <row r="1" spans="1:8" ht="21" x14ac:dyDescent="0.2">
      <c r="A1" s="236" t="s">
        <v>0</v>
      </c>
      <c r="B1" s="237"/>
      <c r="C1" s="237"/>
      <c r="D1" s="237"/>
      <c r="E1" s="237"/>
      <c r="F1" s="237"/>
      <c r="G1" s="238"/>
    </row>
    <row r="2" spans="1:8" x14ac:dyDescent="0.2">
      <c r="A2" s="5"/>
      <c r="B2" s="6"/>
      <c r="C2" s="6"/>
      <c r="D2" s="6"/>
      <c r="E2" s="6"/>
      <c r="F2" s="6"/>
      <c r="G2" s="7"/>
    </row>
    <row r="3" spans="1:8" ht="15.75" x14ac:dyDescent="0.2">
      <c r="A3" s="8" t="s">
        <v>1</v>
      </c>
      <c r="B3" s="9"/>
      <c r="C3" s="9"/>
      <c r="D3" s="9"/>
      <c r="E3" s="9"/>
      <c r="F3" s="9"/>
      <c r="G3" s="10"/>
      <c r="H3" s="3"/>
    </row>
    <row r="4" spans="1:8" x14ac:dyDescent="0.2">
      <c r="A4" s="11" t="s">
        <v>2</v>
      </c>
      <c r="B4" s="12"/>
      <c r="C4" s="13" t="s">
        <v>3</v>
      </c>
      <c r="D4" s="14"/>
      <c r="E4" s="14"/>
      <c r="F4" s="12" t="s">
        <v>4</v>
      </c>
      <c r="G4" s="15">
        <v>42865.586736805555</v>
      </c>
      <c r="H4" s="16"/>
    </row>
    <row r="5" spans="1:8" x14ac:dyDescent="0.2">
      <c r="A5" s="17" t="s">
        <v>5</v>
      </c>
      <c r="B5" s="18"/>
      <c r="C5" s="19" t="s">
        <v>6</v>
      </c>
      <c r="D5" s="2"/>
      <c r="E5" s="2"/>
      <c r="F5" s="18" t="s">
        <v>7</v>
      </c>
      <c r="G5" s="20" t="s">
        <v>8</v>
      </c>
      <c r="H5" s="16"/>
    </row>
    <row r="6" spans="1:8" x14ac:dyDescent="0.2">
      <c r="A6" s="17" t="s">
        <v>9</v>
      </c>
      <c r="B6" s="18"/>
      <c r="C6" s="19" t="s">
        <v>10</v>
      </c>
      <c r="D6" s="2"/>
      <c r="E6" s="2"/>
      <c r="F6" s="18" t="s">
        <v>11</v>
      </c>
      <c r="G6" s="21">
        <v>45015.525102340107</v>
      </c>
      <c r="H6" s="19"/>
    </row>
    <row r="7" spans="1:8" x14ac:dyDescent="0.2">
      <c r="A7" s="22" t="s">
        <v>12</v>
      </c>
      <c r="B7" s="23"/>
      <c r="C7" s="24">
        <v>7</v>
      </c>
      <c r="D7" s="25"/>
      <c r="E7" s="25"/>
      <c r="F7" s="23" t="s">
        <v>13</v>
      </c>
      <c r="G7" s="26" t="s">
        <v>14</v>
      </c>
      <c r="H7" s="27"/>
    </row>
    <row r="8" spans="1:8" x14ac:dyDescent="0.2">
      <c r="A8" s="18"/>
      <c r="B8" s="18"/>
      <c r="C8" s="19"/>
      <c r="D8" s="2"/>
      <c r="E8" s="2"/>
      <c r="F8" s="18"/>
      <c r="G8" s="28"/>
      <c r="H8" s="19"/>
    </row>
    <row r="9" spans="1:8" ht="15.75" x14ac:dyDescent="0.2">
      <c r="A9" s="29" t="s">
        <v>15</v>
      </c>
      <c r="B9" s="30"/>
      <c r="C9" s="30"/>
      <c r="D9" s="30"/>
      <c r="E9" s="30"/>
      <c r="F9" s="30"/>
      <c r="G9" s="31"/>
      <c r="H9" s="3"/>
    </row>
    <row r="10" spans="1:8" x14ac:dyDescent="0.2">
      <c r="A10" s="32" t="s">
        <v>16</v>
      </c>
      <c r="B10" s="32" t="s">
        <v>17</v>
      </c>
      <c r="C10" s="32" t="s">
        <v>18</v>
      </c>
      <c r="D10" s="32" t="s">
        <v>19</v>
      </c>
      <c r="E10" s="32" t="s">
        <v>20</v>
      </c>
      <c r="F10" s="32" t="s">
        <v>21</v>
      </c>
      <c r="G10" s="32" t="s">
        <v>22</v>
      </c>
    </row>
    <row r="11" spans="1:8" x14ac:dyDescent="0.2">
      <c r="A11" s="33" t="s">
        <v>23</v>
      </c>
      <c r="B11" s="33" t="s">
        <v>23</v>
      </c>
      <c r="C11" s="33" t="s">
        <v>23</v>
      </c>
      <c r="D11" s="33" t="s">
        <v>23</v>
      </c>
      <c r="E11" s="33" t="s">
        <v>23</v>
      </c>
      <c r="F11" s="33" t="s">
        <v>23</v>
      </c>
      <c r="G11" s="33" t="s">
        <v>23</v>
      </c>
    </row>
    <row r="12" spans="1:8" x14ac:dyDescent="0.2">
      <c r="A12" s="33" t="s">
        <v>23</v>
      </c>
      <c r="B12" s="33" t="s">
        <v>23</v>
      </c>
      <c r="C12" s="33" t="s">
        <v>23</v>
      </c>
      <c r="D12" s="33" t="s">
        <v>23</v>
      </c>
      <c r="E12" s="33" t="s">
        <v>23</v>
      </c>
      <c r="F12" s="33" t="s">
        <v>23</v>
      </c>
      <c r="G12" s="33" t="s">
        <v>23</v>
      </c>
    </row>
    <row r="13" spans="1:8" x14ac:dyDescent="0.2">
      <c r="A13" s="34" t="s">
        <v>23</v>
      </c>
      <c r="B13" s="34" t="s">
        <v>23</v>
      </c>
      <c r="C13" s="34" t="s">
        <v>23</v>
      </c>
      <c r="D13" s="34" t="s">
        <v>23</v>
      </c>
      <c r="E13" s="34" t="s">
        <v>23</v>
      </c>
      <c r="F13" s="34" t="s">
        <v>23</v>
      </c>
      <c r="G13" s="34" t="s">
        <v>23</v>
      </c>
    </row>
    <row r="14" spans="1:8" x14ac:dyDescent="0.2">
      <c r="A14" s="35">
        <v>1</v>
      </c>
      <c r="B14" s="36" t="s">
        <v>24</v>
      </c>
      <c r="C14" s="36" t="s">
        <v>25</v>
      </c>
      <c r="D14" s="36" t="s">
        <v>26</v>
      </c>
      <c r="E14" s="36" t="s">
        <v>27</v>
      </c>
      <c r="F14" s="37">
        <v>44754.551724537036</v>
      </c>
      <c r="G14" s="36" t="s">
        <v>28</v>
      </c>
    </row>
    <row r="15" spans="1:8" x14ac:dyDescent="0.2">
      <c r="A15" s="38">
        <v>2</v>
      </c>
      <c r="B15" s="39" t="s">
        <v>29</v>
      </c>
      <c r="C15" s="39" t="s">
        <v>25</v>
      </c>
      <c r="D15" s="39" t="s">
        <v>26</v>
      </c>
      <c r="E15" s="39" t="s">
        <v>27</v>
      </c>
      <c r="F15" s="40">
        <v>44754.552152777775</v>
      </c>
      <c r="G15" s="39" t="s">
        <v>28</v>
      </c>
    </row>
    <row r="16" spans="1:8" x14ac:dyDescent="0.2">
      <c r="A16" s="35">
        <v>3</v>
      </c>
      <c r="B16" s="36" t="s">
        <v>30</v>
      </c>
      <c r="C16" s="36" t="s">
        <v>25</v>
      </c>
      <c r="D16" s="36" t="s">
        <v>26</v>
      </c>
      <c r="E16" s="36" t="s">
        <v>27</v>
      </c>
      <c r="F16" s="37">
        <v>44754.55263888889</v>
      </c>
      <c r="G16" s="36" t="s">
        <v>28</v>
      </c>
    </row>
    <row r="17" spans="1:7" x14ac:dyDescent="0.2">
      <c r="A17" s="38">
        <v>4</v>
      </c>
      <c r="B17" s="39" t="s">
        <v>31</v>
      </c>
      <c r="C17" s="39" t="s">
        <v>25</v>
      </c>
      <c r="D17" s="39" t="s">
        <v>26</v>
      </c>
      <c r="E17" s="39" t="s">
        <v>27</v>
      </c>
      <c r="F17" s="40">
        <v>44754.553148148145</v>
      </c>
      <c r="G17" s="39" t="s">
        <v>28</v>
      </c>
    </row>
    <row r="18" spans="1:7" x14ac:dyDescent="0.2">
      <c r="A18" s="35">
        <v>5</v>
      </c>
      <c r="B18" s="36" t="s">
        <v>32</v>
      </c>
      <c r="C18" s="36" t="s">
        <v>25</v>
      </c>
      <c r="D18" s="36" t="s">
        <v>26</v>
      </c>
      <c r="E18" s="36" t="s">
        <v>27</v>
      </c>
      <c r="F18" s="37">
        <v>44754.553715277776</v>
      </c>
      <c r="G18" s="36" t="s">
        <v>28</v>
      </c>
    </row>
    <row r="19" spans="1:7" x14ac:dyDescent="0.2">
      <c r="A19" s="38">
        <v>6</v>
      </c>
      <c r="B19" s="39" t="s">
        <v>33</v>
      </c>
      <c r="C19" s="39" t="s">
        <v>25</v>
      </c>
      <c r="D19" s="39" t="s">
        <v>26</v>
      </c>
      <c r="E19" s="39" t="s">
        <v>27</v>
      </c>
      <c r="F19" s="40">
        <v>44754.5543287037</v>
      </c>
      <c r="G19" s="39" t="s">
        <v>28</v>
      </c>
    </row>
    <row r="20" spans="1:7" x14ac:dyDescent="0.2">
      <c r="A20" s="35">
        <v>7</v>
      </c>
      <c r="B20" s="36" t="s">
        <v>34</v>
      </c>
      <c r="C20" s="36" t="s">
        <v>35</v>
      </c>
      <c r="D20" s="36" t="s">
        <v>36</v>
      </c>
      <c r="E20" s="36" t="s">
        <v>23</v>
      </c>
      <c r="F20" s="37">
        <v>44754.554756944446</v>
      </c>
      <c r="G20" s="36" t="s">
        <v>28</v>
      </c>
    </row>
    <row r="21" spans="1:7" x14ac:dyDescent="0.2">
      <c r="A21" s="41"/>
      <c r="B21" s="41"/>
      <c r="C21" s="41"/>
      <c r="D21" s="41"/>
      <c r="E21" s="41"/>
      <c r="F21" s="41"/>
      <c r="G21" s="41"/>
    </row>
  </sheetData>
  <mergeCells count="1">
    <mergeCell ref="A1:G1"/>
  </mergeCells>
  <pageMargins left="0.75" right="0.75" top="1" bottom="1" header="0.5" footer="0.5"/>
  <pageSetup fitToHeight="9" orientation="portrait" r:id="rId1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7"/>
  <sheetViews>
    <sheetView showOutlineSymbols="0" zoomScaleNormal="100" zoomScaleSheetLayoutView="100" workbookViewId="0">
      <selection sqref="A1:XFD1048576"/>
    </sheetView>
  </sheetViews>
  <sheetFormatPr defaultColWidth="9.140625" defaultRowHeight="12.75" customHeight="1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0.7109375" customWidth="1"/>
    <col min="9" max="9" width="8.85546875" customWidth="1"/>
  </cols>
  <sheetData>
    <row r="1" spans="1:8" ht="21" x14ac:dyDescent="0.2">
      <c r="A1" s="233" t="s">
        <v>37</v>
      </c>
      <c r="B1" s="234"/>
      <c r="C1" s="234"/>
      <c r="D1" s="234"/>
      <c r="E1" s="234"/>
      <c r="F1" s="234"/>
      <c r="G1" s="234"/>
      <c r="H1" s="235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46267.159722222219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67</v>
      </c>
      <c r="J42" s="58"/>
    </row>
    <row r="43" spans="1:10" ht="12.75" hidden="1" customHeight="1" x14ac:dyDescent="0.2">
      <c r="A43" s="62" t="s">
        <v>71</v>
      </c>
      <c r="B43" s="63" t="s">
        <v>71</v>
      </c>
      <c r="C43" s="64" t="s">
        <v>71</v>
      </c>
      <c r="D43" s="64" t="s">
        <v>71</v>
      </c>
      <c r="E43" s="64" t="s">
        <v>71</v>
      </c>
      <c r="F43" s="64" t="s">
        <v>71</v>
      </c>
      <c r="G43" s="64" t="s">
        <v>71</v>
      </c>
      <c r="H43" s="64" t="s">
        <v>71</v>
      </c>
      <c r="I43" s="64" t="s">
        <v>71</v>
      </c>
      <c r="J43" s="58"/>
    </row>
    <row r="44" spans="1:10" ht="12.75" customHeight="1" x14ac:dyDescent="0.2">
      <c r="A44" s="65">
        <v>2</v>
      </c>
      <c r="B44" s="66" t="s">
        <v>72</v>
      </c>
      <c r="C44" s="67">
        <v>7.3382166666666668</v>
      </c>
      <c r="D44" s="68">
        <v>205.48031666666625</v>
      </c>
      <c r="E44" s="67">
        <v>2652</v>
      </c>
      <c r="F44" s="69">
        <v>1.5998685308944915</v>
      </c>
      <c r="G44" s="69">
        <v>0.49719474134561809</v>
      </c>
      <c r="H44" s="66" t="s">
        <v>73</v>
      </c>
      <c r="I44" s="70">
        <v>0.12791064513812511</v>
      </c>
    </row>
    <row r="45" spans="1:10" ht="12.75" customHeight="1" x14ac:dyDescent="0.2">
      <c r="A45" s="71">
        <v>22</v>
      </c>
      <c r="B45" s="72" t="s">
        <v>74</v>
      </c>
      <c r="C45" s="73">
        <v>8.7916000000000007</v>
      </c>
      <c r="D45" s="74">
        <v>578.26430833332984</v>
      </c>
      <c r="E45" s="73">
        <v>14922</v>
      </c>
      <c r="F45" s="75">
        <v>4.5023624863434151</v>
      </c>
      <c r="G45" s="75">
        <v>2.7975640763044165</v>
      </c>
      <c r="H45" s="72" t="s">
        <v>75</v>
      </c>
      <c r="I45" s="76">
        <v>5.8900757127522851E-2</v>
      </c>
    </row>
    <row r="46" spans="1:10" ht="12.75" customHeight="1" x14ac:dyDescent="0.2">
      <c r="A46" s="71">
        <v>2</v>
      </c>
      <c r="B46" s="72" t="s">
        <v>76</v>
      </c>
      <c r="C46" s="73">
        <v>10.0962</v>
      </c>
      <c r="D46" s="74">
        <v>708.41184999999791</v>
      </c>
      <c r="E46" s="73">
        <v>29664</v>
      </c>
      <c r="F46" s="75">
        <v>5.5156904764085573</v>
      </c>
      <c r="G46" s="75">
        <v>5.5613819031962342</v>
      </c>
      <c r="H46" s="72" t="s">
        <v>77</v>
      </c>
      <c r="I46" s="76">
        <v>3.8568694395983982E-2</v>
      </c>
    </row>
    <row r="47" spans="1:10" ht="12.75" customHeight="1" x14ac:dyDescent="0.2">
      <c r="A47" s="71">
        <v>4</v>
      </c>
      <c r="B47" s="72" t="s">
        <v>78</v>
      </c>
      <c r="C47" s="73">
        <v>11.274933333333333</v>
      </c>
      <c r="D47" s="74">
        <v>839.80969999998638</v>
      </c>
      <c r="E47" s="73">
        <v>35400</v>
      </c>
      <c r="F47" s="75">
        <v>6.5387533597658845</v>
      </c>
      <c r="G47" s="75">
        <v>6.6367623844777075</v>
      </c>
      <c r="H47" s="72" t="s">
        <v>79</v>
      </c>
      <c r="I47" s="76">
        <v>3.7532900580831807E-2</v>
      </c>
    </row>
    <row r="48" spans="1:10" ht="12.75" customHeight="1" x14ac:dyDescent="0.2">
      <c r="A48" s="71">
        <v>2</v>
      </c>
      <c r="B48" s="72" t="s">
        <v>80</v>
      </c>
      <c r="C48" s="73">
        <v>12.356383333333333</v>
      </c>
      <c r="D48" s="74">
        <v>909.56104166664147</v>
      </c>
      <c r="E48" s="73">
        <v>40752</v>
      </c>
      <c r="F48" s="75">
        <v>7.0818368936557974</v>
      </c>
      <c r="G48" s="75">
        <v>7.6401508670123031</v>
      </c>
      <c r="H48" s="72" t="s">
        <v>81</v>
      </c>
      <c r="I48" s="76">
        <v>3.4375560310156317E-2</v>
      </c>
    </row>
    <row r="49" spans="1:9" ht="12.75" customHeight="1" x14ac:dyDescent="0.2">
      <c r="A49" s="71">
        <v>4</v>
      </c>
      <c r="B49" s="72" t="s">
        <v>82</v>
      </c>
      <c r="C49" s="73">
        <v>13.369183333333334</v>
      </c>
      <c r="D49" s="74">
        <v>940.11791666664601</v>
      </c>
      <c r="E49" s="73">
        <v>41664</v>
      </c>
      <c r="F49" s="75">
        <v>7.3197525417725418</v>
      </c>
      <c r="G49" s="75">
        <v>7.8111318640361356</v>
      </c>
      <c r="H49" s="72" t="s">
        <v>83</v>
      </c>
      <c r="I49" s="76">
        <v>3.6292440290756289E-2</v>
      </c>
    </row>
    <row r="50" spans="1:9" ht="12.75" customHeight="1" x14ac:dyDescent="0.2">
      <c r="A50" s="71">
        <v>2</v>
      </c>
      <c r="B50" s="72" t="s">
        <v>84</v>
      </c>
      <c r="C50" s="73">
        <v>14.307583333333334</v>
      </c>
      <c r="D50" s="74">
        <v>963.8174083333173</v>
      </c>
      <c r="E50" s="73">
        <v>42632</v>
      </c>
      <c r="F50" s="75">
        <v>7.5042766437925499</v>
      </c>
      <c r="G50" s="75">
        <v>7.9926116942105541</v>
      </c>
      <c r="H50" s="72" t="s">
        <v>85</v>
      </c>
      <c r="I50" s="76">
        <v>3.6191680934612336E-2</v>
      </c>
    </row>
    <row r="51" spans="1:9" ht="12.75" customHeight="1" x14ac:dyDescent="0.2">
      <c r="A51" s="71">
        <v>4</v>
      </c>
      <c r="B51" s="72" t="s">
        <v>86</v>
      </c>
      <c r="C51" s="73">
        <v>15.194483333333334</v>
      </c>
      <c r="D51" s="74">
        <v>1011.1788249999933</v>
      </c>
      <c r="E51" s="73">
        <v>45560</v>
      </c>
      <c r="F51" s="75">
        <v>7.8730323539879725</v>
      </c>
      <c r="G51" s="75">
        <v>8.5415506846554905</v>
      </c>
      <c r="H51" s="72" t="s">
        <v>87</v>
      </c>
      <c r="I51" s="76">
        <v>3.6709699782081273E-2</v>
      </c>
    </row>
    <row r="52" spans="1:9" ht="12.75" customHeight="1" x14ac:dyDescent="0.2">
      <c r="A52" s="71">
        <v>4</v>
      </c>
      <c r="B52" s="72" t="s">
        <v>88</v>
      </c>
      <c r="C52" s="73">
        <v>16.035616666666666</v>
      </c>
      <c r="D52" s="74">
        <v>1011.4639083333057</v>
      </c>
      <c r="E52" s="73">
        <v>46768</v>
      </c>
      <c r="F52" s="75">
        <v>7.8752520111359061</v>
      </c>
      <c r="G52" s="75">
        <v>8.7680255140467072</v>
      </c>
      <c r="H52" s="72" t="s">
        <v>89</v>
      </c>
      <c r="I52" s="76">
        <v>3.6715495014099986E-2</v>
      </c>
    </row>
    <row r="53" spans="1:9" ht="12.75" customHeight="1" x14ac:dyDescent="0.2">
      <c r="A53" s="71">
        <v>2</v>
      </c>
      <c r="B53" s="72" t="s">
        <v>90</v>
      </c>
      <c r="C53" s="73">
        <v>16.82525</v>
      </c>
      <c r="D53" s="74">
        <v>1070.8453833333519</v>
      </c>
      <c r="E53" s="73">
        <v>47528</v>
      </c>
      <c r="F53" s="75">
        <v>8.3375958244598216</v>
      </c>
      <c r="G53" s="75">
        <v>8.9105096782332343</v>
      </c>
      <c r="H53" s="72" t="s">
        <v>91</v>
      </c>
      <c r="I53" s="76">
        <v>3.5456404510025408E-2</v>
      </c>
    </row>
    <row r="54" spans="1:9" ht="12.75" customHeight="1" x14ac:dyDescent="0.2">
      <c r="A54" s="71">
        <v>2</v>
      </c>
      <c r="B54" s="72" t="s">
        <v>92</v>
      </c>
      <c r="C54" s="73">
        <v>17.574816666666667</v>
      </c>
      <c r="D54" s="74">
        <v>1073.2805666666754</v>
      </c>
      <c r="E54" s="73">
        <v>48773.024034959941</v>
      </c>
      <c r="F54" s="75">
        <v>8.3565561474977859</v>
      </c>
      <c r="G54" s="75">
        <v>9.1439257427245551</v>
      </c>
      <c r="H54" s="72" t="s">
        <v>93</v>
      </c>
      <c r="I54" s="76">
        <v>3.4772591983873724E-2</v>
      </c>
    </row>
    <row r="55" spans="1:9" ht="12.75" customHeight="1" x14ac:dyDescent="0.2">
      <c r="A55" s="71">
        <v>2</v>
      </c>
      <c r="B55" s="72" t="s">
        <v>94</v>
      </c>
      <c r="C55" s="73">
        <v>18.290066666666668</v>
      </c>
      <c r="D55" s="74">
        <v>1078.9304416666459</v>
      </c>
      <c r="E55" s="73">
        <v>47327.531257002011</v>
      </c>
      <c r="F55" s="75">
        <v>8.4005460408489991</v>
      </c>
      <c r="G55" s="75">
        <v>8.872925966007454</v>
      </c>
      <c r="H55" s="72" t="s">
        <v>95</v>
      </c>
      <c r="I55" s="76">
        <v>3.6862874643514232E-2</v>
      </c>
    </row>
    <row r="56" spans="1:9" ht="12.75" customHeight="1" x14ac:dyDescent="0.2">
      <c r="A56" s="77">
        <v>2</v>
      </c>
      <c r="B56" s="78" t="s">
        <v>96</v>
      </c>
      <c r="C56" s="79">
        <v>19.011033333333334</v>
      </c>
      <c r="D56" s="80">
        <v>1096.1350416666812</v>
      </c>
      <c r="E56" s="79">
        <v>42866.541085916375</v>
      </c>
      <c r="F56" s="81">
        <v>8.5345009547463508</v>
      </c>
      <c r="G56" s="81">
        <v>8.0365832607818639</v>
      </c>
      <c r="H56" s="78" t="s">
        <v>95</v>
      </c>
      <c r="I56" s="82">
        <v>4.05762122970863E-2</v>
      </c>
    </row>
    <row r="57" spans="1:9" ht="16.5" customHeight="1" x14ac:dyDescent="0.2">
      <c r="A57" s="83" t="s">
        <v>97</v>
      </c>
      <c r="B57" s="84"/>
      <c r="C57" s="85"/>
      <c r="D57" s="86">
        <f t="shared" ref="D57:G57" si="0">SUM(D44:D56)</f>
        <v>11487.296708333239</v>
      </c>
      <c r="E57" s="86">
        <f t="shared" si="0"/>
        <v>486509.09637787839</v>
      </c>
      <c r="F57" s="86">
        <f t="shared" si="0"/>
        <v>89.440024265310072</v>
      </c>
      <c r="G57" s="86">
        <f t="shared" si="0"/>
        <v>91.210318377032294</v>
      </c>
      <c r="H57" s="87"/>
      <c r="I57" s="41"/>
    </row>
  </sheetData>
  <mergeCells count="1">
    <mergeCell ref="A1:H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
Sequence:alkane_mix.AIA&amp;R&amp;08&amp;"Microsoft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Sequence:alkane_mix.AIA&amp;R&amp;08&amp;"Microsoft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5FEC-6E94-44F6-9586-225C9B719A02}">
  <dimension ref="A1:J57"/>
  <sheetViews>
    <sheetView topLeftCell="A24" workbookViewId="0">
      <selection activeCell="A40" sqref="A40:I57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0.7109375" customWidth="1"/>
    <col min="9" max="9" width="8.85546875" customWidth="1"/>
  </cols>
  <sheetData>
    <row r="1" spans="1:8" ht="21" x14ac:dyDescent="0.2">
      <c r="A1" s="233" t="s">
        <v>37</v>
      </c>
      <c r="B1" s="234"/>
      <c r="C1" s="234"/>
      <c r="D1" s="234"/>
      <c r="E1" s="234"/>
      <c r="F1" s="234"/>
      <c r="G1" s="234"/>
      <c r="H1" s="235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46267.159722222219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67</v>
      </c>
      <c r="J42" s="58"/>
    </row>
    <row r="43" spans="1:10" ht="12.75" hidden="1" customHeight="1" x14ac:dyDescent="0.2">
      <c r="A43" s="62" t="s">
        <v>71</v>
      </c>
      <c r="B43" s="63" t="s">
        <v>71</v>
      </c>
      <c r="C43" s="64" t="s">
        <v>71</v>
      </c>
      <c r="D43" s="64" t="s">
        <v>71</v>
      </c>
      <c r="E43" s="64" t="s">
        <v>71</v>
      </c>
      <c r="F43" s="64" t="s">
        <v>71</v>
      </c>
      <c r="G43" s="64" t="s">
        <v>71</v>
      </c>
      <c r="H43" s="64" t="s">
        <v>71</v>
      </c>
      <c r="I43" s="64" t="s">
        <v>71</v>
      </c>
      <c r="J43" s="58"/>
    </row>
    <row r="44" spans="1:10" ht="12.75" customHeight="1" x14ac:dyDescent="0.2">
      <c r="A44" s="65">
        <v>2</v>
      </c>
      <c r="B44" s="66" t="s">
        <v>72</v>
      </c>
      <c r="C44" s="67">
        <v>7.3382166666666668</v>
      </c>
      <c r="D44" s="68">
        <v>205.48031666666625</v>
      </c>
      <c r="E44" s="67">
        <v>2652</v>
      </c>
      <c r="F44" s="69">
        <v>1.5998685308944915</v>
      </c>
      <c r="G44" s="69">
        <v>0.49719474134561809</v>
      </c>
      <c r="H44" s="66" t="s">
        <v>73</v>
      </c>
      <c r="I44" s="70">
        <v>0.12791064513812511</v>
      </c>
    </row>
    <row r="45" spans="1:10" ht="12.75" customHeight="1" x14ac:dyDescent="0.2">
      <c r="A45" s="71">
        <v>22</v>
      </c>
      <c r="B45" s="72" t="s">
        <v>74</v>
      </c>
      <c r="C45" s="73">
        <v>8.7916000000000007</v>
      </c>
      <c r="D45" s="74">
        <v>578.26430833332984</v>
      </c>
      <c r="E45" s="73">
        <v>14922</v>
      </c>
      <c r="F45" s="75">
        <v>4.5023624863434151</v>
      </c>
      <c r="G45" s="75">
        <v>2.7975640763044165</v>
      </c>
      <c r="H45" s="72" t="s">
        <v>75</v>
      </c>
      <c r="I45" s="76">
        <v>5.8900757127522851E-2</v>
      </c>
    </row>
    <row r="46" spans="1:10" ht="12.75" customHeight="1" x14ac:dyDescent="0.2">
      <c r="A46" s="71">
        <v>2</v>
      </c>
      <c r="B46" s="72" t="s">
        <v>76</v>
      </c>
      <c r="C46" s="73">
        <v>10.0962</v>
      </c>
      <c r="D46" s="74">
        <v>708.41184999999791</v>
      </c>
      <c r="E46" s="73">
        <v>29664</v>
      </c>
      <c r="F46" s="75">
        <v>5.5156904764085573</v>
      </c>
      <c r="G46" s="75">
        <v>5.5613819031962342</v>
      </c>
      <c r="H46" s="72" t="s">
        <v>77</v>
      </c>
      <c r="I46" s="76">
        <v>3.8568694395983982E-2</v>
      </c>
    </row>
    <row r="47" spans="1:10" ht="12.75" customHeight="1" x14ac:dyDescent="0.2">
      <c r="A47" s="71">
        <v>4</v>
      </c>
      <c r="B47" s="72" t="s">
        <v>78</v>
      </c>
      <c r="C47" s="73">
        <v>11.274933333333333</v>
      </c>
      <c r="D47" s="74">
        <v>839.80969999998638</v>
      </c>
      <c r="E47" s="73">
        <v>35400</v>
      </c>
      <c r="F47" s="75">
        <v>6.5387533597658845</v>
      </c>
      <c r="G47" s="75">
        <v>6.6367623844777075</v>
      </c>
      <c r="H47" s="72" t="s">
        <v>79</v>
      </c>
      <c r="I47" s="76">
        <v>3.7532900580831807E-2</v>
      </c>
    </row>
    <row r="48" spans="1:10" ht="12.75" customHeight="1" x14ac:dyDescent="0.2">
      <c r="A48" s="71">
        <v>2</v>
      </c>
      <c r="B48" s="72" t="s">
        <v>80</v>
      </c>
      <c r="C48" s="73">
        <v>12.356383333333333</v>
      </c>
      <c r="D48" s="74">
        <v>909.56104166664147</v>
      </c>
      <c r="E48" s="73">
        <v>40752</v>
      </c>
      <c r="F48" s="75">
        <v>7.0818368936557974</v>
      </c>
      <c r="G48" s="75">
        <v>7.6401508670123031</v>
      </c>
      <c r="H48" s="72" t="s">
        <v>81</v>
      </c>
      <c r="I48" s="76">
        <v>3.4375560310156317E-2</v>
      </c>
    </row>
    <row r="49" spans="1:9" ht="12.75" customHeight="1" x14ac:dyDescent="0.2">
      <c r="A49" s="71">
        <v>4</v>
      </c>
      <c r="B49" s="72" t="s">
        <v>82</v>
      </c>
      <c r="C49" s="73">
        <v>13.369183333333334</v>
      </c>
      <c r="D49" s="74">
        <v>940.11791666664601</v>
      </c>
      <c r="E49" s="73">
        <v>41664</v>
      </c>
      <c r="F49" s="75">
        <v>7.3197525417725418</v>
      </c>
      <c r="G49" s="75">
        <v>7.8111318640361356</v>
      </c>
      <c r="H49" s="72" t="s">
        <v>83</v>
      </c>
      <c r="I49" s="76">
        <v>3.6292440290756289E-2</v>
      </c>
    </row>
    <row r="50" spans="1:9" ht="12.75" customHeight="1" x14ac:dyDescent="0.2">
      <c r="A50" s="71">
        <v>2</v>
      </c>
      <c r="B50" s="72" t="s">
        <v>84</v>
      </c>
      <c r="C50" s="73">
        <v>14.307583333333334</v>
      </c>
      <c r="D50" s="74">
        <v>963.8174083333173</v>
      </c>
      <c r="E50" s="73">
        <v>42632</v>
      </c>
      <c r="F50" s="75">
        <v>7.5042766437925499</v>
      </c>
      <c r="G50" s="75">
        <v>7.9926116942105541</v>
      </c>
      <c r="H50" s="72" t="s">
        <v>85</v>
      </c>
      <c r="I50" s="76">
        <v>3.6191680934612336E-2</v>
      </c>
    </row>
    <row r="51" spans="1:9" ht="12.75" customHeight="1" x14ac:dyDescent="0.2">
      <c r="A51" s="71">
        <v>4</v>
      </c>
      <c r="B51" s="72" t="s">
        <v>86</v>
      </c>
      <c r="C51" s="73">
        <v>15.194483333333334</v>
      </c>
      <c r="D51" s="74">
        <v>1011.1788249999933</v>
      </c>
      <c r="E51" s="73">
        <v>45560</v>
      </c>
      <c r="F51" s="75">
        <v>7.8730323539879725</v>
      </c>
      <c r="G51" s="75">
        <v>8.5415506846554905</v>
      </c>
      <c r="H51" s="72" t="s">
        <v>87</v>
      </c>
      <c r="I51" s="76">
        <v>3.6709699782081273E-2</v>
      </c>
    </row>
    <row r="52" spans="1:9" ht="12.75" customHeight="1" x14ac:dyDescent="0.2">
      <c r="A52" s="71">
        <v>4</v>
      </c>
      <c r="B52" s="72" t="s">
        <v>88</v>
      </c>
      <c r="C52" s="73">
        <v>16.035616666666666</v>
      </c>
      <c r="D52" s="74">
        <v>1011.4639083333057</v>
      </c>
      <c r="E52" s="73">
        <v>46768</v>
      </c>
      <c r="F52" s="75">
        <v>7.8752520111359061</v>
      </c>
      <c r="G52" s="75">
        <v>8.7680255140467072</v>
      </c>
      <c r="H52" s="72" t="s">
        <v>89</v>
      </c>
      <c r="I52" s="76">
        <v>3.6715495014099986E-2</v>
      </c>
    </row>
    <row r="53" spans="1:9" ht="12.75" customHeight="1" x14ac:dyDescent="0.2">
      <c r="A53" s="71">
        <v>2</v>
      </c>
      <c r="B53" s="72" t="s">
        <v>90</v>
      </c>
      <c r="C53" s="73">
        <v>16.82525</v>
      </c>
      <c r="D53" s="74">
        <v>1070.8453833333519</v>
      </c>
      <c r="E53" s="73">
        <v>47528</v>
      </c>
      <c r="F53" s="75">
        <v>8.3375958244598216</v>
      </c>
      <c r="G53" s="75">
        <v>8.9105096782332343</v>
      </c>
      <c r="H53" s="72" t="s">
        <v>91</v>
      </c>
      <c r="I53" s="76">
        <v>3.5456404510025408E-2</v>
      </c>
    </row>
    <row r="54" spans="1:9" ht="12.75" customHeight="1" x14ac:dyDescent="0.2">
      <c r="A54" s="71">
        <v>2</v>
      </c>
      <c r="B54" s="72" t="s">
        <v>92</v>
      </c>
      <c r="C54" s="73">
        <v>17.574816666666667</v>
      </c>
      <c r="D54" s="74">
        <v>1073.2805666666754</v>
      </c>
      <c r="E54" s="73">
        <v>48773.024034959941</v>
      </c>
      <c r="F54" s="75">
        <v>8.3565561474977859</v>
      </c>
      <c r="G54" s="75">
        <v>9.1439257427245551</v>
      </c>
      <c r="H54" s="72" t="s">
        <v>93</v>
      </c>
      <c r="I54" s="76">
        <v>3.4772591983873724E-2</v>
      </c>
    </row>
    <row r="55" spans="1:9" ht="12.75" customHeight="1" x14ac:dyDescent="0.2">
      <c r="A55" s="71">
        <v>2</v>
      </c>
      <c r="B55" s="72" t="s">
        <v>94</v>
      </c>
      <c r="C55" s="73">
        <v>18.290066666666668</v>
      </c>
      <c r="D55" s="74">
        <v>1078.9304416666459</v>
      </c>
      <c r="E55" s="73">
        <v>47327.531257002011</v>
      </c>
      <c r="F55" s="75">
        <v>8.4005460408489991</v>
      </c>
      <c r="G55" s="75">
        <v>8.872925966007454</v>
      </c>
      <c r="H55" s="72" t="s">
        <v>95</v>
      </c>
      <c r="I55" s="76">
        <v>3.6862874643514232E-2</v>
      </c>
    </row>
    <row r="56" spans="1:9" ht="12.75" customHeight="1" x14ac:dyDescent="0.2">
      <c r="A56" s="77">
        <v>2</v>
      </c>
      <c r="B56" s="78" t="s">
        <v>96</v>
      </c>
      <c r="C56" s="79">
        <v>19.011033333333334</v>
      </c>
      <c r="D56" s="80">
        <v>1096.1350416666812</v>
      </c>
      <c r="E56" s="79">
        <v>42866.541085916375</v>
      </c>
      <c r="F56" s="81">
        <v>8.5345009547463508</v>
      </c>
      <c r="G56" s="81">
        <v>8.0365832607818639</v>
      </c>
      <c r="H56" s="78" t="s">
        <v>95</v>
      </c>
      <c r="I56" s="82">
        <v>4.05762122970863E-2</v>
      </c>
    </row>
    <row r="57" spans="1:9" ht="16.5" customHeight="1" x14ac:dyDescent="0.2">
      <c r="A57" s="83" t="s">
        <v>97</v>
      </c>
      <c r="B57" s="84"/>
      <c r="C57" s="85"/>
      <c r="D57" s="86">
        <f t="shared" ref="D57:G57" si="0">SUM(D44:D56)</f>
        <v>11487.296708333239</v>
      </c>
      <c r="E57" s="86">
        <f t="shared" si="0"/>
        <v>486509.09637787839</v>
      </c>
      <c r="F57" s="86">
        <f t="shared" si="0"/>
        <v>89.440024265310072</v>
      </c>
      <c r="G57" s="86">
        <f t="shared" si="0"/>
        <v>91.210318377032294</v>
      </c>
      <c r="H57" s="87"/>
      <c r="I57" s="41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880E-198D-41E8-9E3E-97EBBE1B44FE}">
  <dimension ref="A1:I15"/>
  <sheetViews>
    <sheetView tabSelected="1" workbookViewId="0">
      <selection activeCell="B22" sqref="B22"/>
    </sheetView>
  </sheetViews>
  <sheetFormatPr defaultRowHeight="12.75" x14ac:dyDescent="0.2"/>
  <sheetData>
    <row r="1" spans="1:9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">
      <c r="A2">
        <v>2</v>
      </c>
      <c r="B2" t="s">
        <v>72</v>
      </c>
      <c r="C2">
        <v>7.3382166666666668</v>
      </c>
      <c r="D2">
        <v>205.48031666666625</v>
      </c>
      <c r="E2">
        <v>2652</v>
      </c>
      <c r="F2">
        <v>1.5998685308944915</v>
      </c>
      <c r="G2">
        <v>0.49719474134561809</v>
      </c>
      <c r="H2" t="s">
        <v>73</v>
      </c>
      <c r="I2">
        <v>0.12791064513812511</v>
      </c>
    </row>
    <row r="3" spans="1:9" x14ac:dyDescent="0.2">
      <c r="A3">
        <v>22</v>
      </c>
      <c r="B3" t="s">
        <v>74</v>
      </c>
      <c r="C3">
        <v>8.7916000000000007</v>
      </c>
      <c r="D3">
        <v>578.26430833332984</v>
      </c>
      <c r="E3">
        <v>14922</v>
      </c>
      <c r="F3">
        <v>4.5023624863434151</v>
      </c>
      <c r="G3">
        <v>2.7975640763044165</v>
      </c>
      <c r="H3" t="s">
        <v>75</v>
      </c>
      <c r="I3">
        <v>5.8900757127522851E-2</v>
      </c>
    </row>
    <row r="4" spans="1:9" x14ac:dyDescent="0.2">
      <c r="A4">
        <v>2</v>
      </c>
      <c r="B4" t="s">
        <v>76</v>
      </c>
      <c r="C4">
        <v>10.0962</v>
      </c>
      <c r="D4">
        <v>708.41184999999791</v>
      </c>
      <c r="E4">
        <v>29664</v>
      </c>
      <c r="F4">
        <v>5.5156904764085573</v>
      </c>
      <c r="G4">
        <v>5.5613819031962342</v>
      </c>
      <c r="H4" t="s">
        <v>77</v>
      </c>
      <c r="I4">
        <v>3.8568694395983982E-2</v>
      </c>
    </row>
    <row r="5" spans="1:9" x14ac:dyDescent="0.2">
      <c r="A5">
        <v>4</v>
      </c>
      <c r="B5" t="s">
        <v>78</v>
      </c>
      <c r="C5">
        <v>11.274933333333333</v>
      </c>
      <c r="D5">
        <v>839.80969999998638</v>
      </c>
      <c r="E5">
        <v>35400</v>
      </c>
      <c r="F5">
        <v>6.5387533597658845</v>
      </c>
      <c r="G5">
        <v>6.6367623844777075</v>
      </c>
      <c r="H5" t="s">
        <v>79</v>
      </c>
      <c r="I5">
        <v>3.7532900580831807E-2</v>
      </c>
    </row>
    <row r="6" spans="1:9" x14ac:dyDescent="0.2">
      <c r="A6">
        <v>2</v>
      </c>
      <c r="B6" t="s">
        <v>80</v>
      </c>
      <c r="C6">
        <v>12.356383333333333</v>
      </c>
      <c r="D6">
        <v>909.56104166664147</v>
      </c>
      <c r="E6">
        <v>40752</v>
      </c>
      <c r="F6">
        <v>7.0818368936557974</v>
      </c>
      <c r="G6">
        <v>7.6401508670123031</v>
      </c>
      <c r="H6" t="s">
        <v>81</v>
      </c>
      <c r="I6">
        <v>3.4375560310156317E-2</v>
      </c>
    </row>
    <row r="7" spans="1:9" x14ac:dyDescent="0.2">
      <c r="A7">
        <v>4</v>
      </c>
      <c r="B7" t="s">
        <v>82</v>
      </c>
      <c r="C7">
        <v>13.369183333333334</v>
      </c>
      <c r="D7">
        <v>940.11791666664601</v>
      </c>
      <c r="E7">
        <v>41664</v>
      </c>
      <c r="F7">
        <v>7.3197525417725418</v>
      </c>
      <c r="G7">
        <v>7.8111318640361356</v>
      </c>
      <c r="H7" t="s">
        <v>83</v>
      </c>
      <c r="I7">
        <v>3.6292440290756289E-2</v>
      </c>
    </row>
    <row r="8" spans="1:9" x14ac:dyDescent="0.2">
      <c r="A8">
        <v>2</v>
      </c>
      <c r="B8" t="s">
        <v>84</v>
      </c>
      <c r="C8">
        <v>14.307583333333334</v>
      </c>
      <c r="D8">
        <v>963.8174083333173</v>
      </c>
      <c r="E8">
        <v>42632</v>
      </c>
      <c r="F8">
        <v>7.5042766437925499</v>
      </c>
      <c r="G8">
        <v>7.9926116942105541</v>
      </c>
      <c r="H8" t="s">
        <v>85</v>
      </c>
      <c r="I8">
        <v>3.6191680934612336E-2</v>
      </c>
    </row>
    <row r="9" spans="1:9" x14ac:dyDescent="0.2">
      <c r="A9">
        <v>4</v>
      </c>
      <c r="B9" t="s">
        <v>86</v>
      </c>
      <c r="C9">
        <v>15.194483333333334</v>
      </c>
      <c r="D9">
        <v>1011.1788249999933</v>
      </c>
      <c r="E9">
        <v>45560</v>
      </c>
      <c r="F9">
        <v>7.8730323539879725</v>
      </c>
      <c r="G9">
        <v>8.5415506846554905</v>
      </c>
      <c r="H9" t="s">
        <v>87</v>
      </c>
      <c r="I9">
        <v>3.6709699782081273E-2</v>
      </c>
    </row>
    <row r="10" spans="1:9" x14ac:dyDescent="0.2">
      <c r="A10">
        <v>4</v>
      </c>
      <c r="B10" t="s">
        <v>88</v>
      </c>
      <c r="C10">
        <v>16.035616666666666</v>
      </c>
      <c r="D10">
        <v>1011.4639083333057</v>
      </c>
      <c r="E10">
        <v>46768</v>
      </c>
      <c r="F10">
        <v>7.8752520111359061</v>
      </c>
      <c r="G10">
        <v>8.7680255140467072</v>
      </c>
      <c r="H10" t="s">
        <v>89</v>
      </c>
      <c r="I10">
        <v>3.6715495014099986E-2</v>
      </c>
    </row>
    <row r="11" spans="1:9" x14ac:dyDescent="0.2">
      <c r="A11">
        <v>2</v>
      </c>
      <c r="B11" t="s">
        <v>90</v>
      </c>
      <c r="C11">
        <v>16.82525</v>
      </c>
      <c r="D11">
        <v>1070.8453833333519</v>
      </c>
      <c r="E11">
        <v>47528</v>
      </c>
      <c r="F11">
        <v>8.3375958244598216</v>
      </c>
      <c r="G11">
        <v>8.9105096782332343</v>
      </c>
      <c r="H11" t="s">
        <v>91</v>
      </c>
      <c r="I11">
        <v>3.5456404510025408E-2</v>
      </c>
    </row>
    <row r="12" spans="1:9" x14ac:dyDescent="0.2">
      <c r="A12">
        <v>2</v>
      </c>
      <c r="B12" t="s">
        <v>92</v>
      </c>
      <c r="C12">
        <v>17.574816666666667</v>
      </c>
      <c r="D12">
        <v>1073.2805666666754</v>
      </c>
      <c r="E12">
        <v>48773.024034959941</v>
      </c>
      <c r="F12">
        <v>8.3565561474977859</v>
      </c>
      <c r="G12">
        <v>9.1439257427245551</v>
      </c>
      <c r="H12" t="s">
        <v>93</v>
      </c>
      <c r="I12">
        <v>3.4772591983873724E-2</v>
      </c>
    </row>
    <row r="13" spans="1:9" x14ac:dyDescent="0.2">
      <c r="A13">
        <v>2</v>
      </c>
      <c r="B13" t="s">
        <v>94</v>
      </c>
      <c r="C13">
        <v>18.290066666666668</v>
      </c>
      <c r="D13">
        <v>1078.9304416666459</v>
      </c>
      <c r="E13">
        <v>47327.531257002011</v>
      </c>
      <c r="F13">
        <v>8.4005460408489991</v>
      </c>
      <c r="G13">
        <v>8.872925966007454</v>
      </c>
      <c r="H13" t="s">
        <v>95</v>
      </c>
      <c r="I13">
        <v>3.6862874643514232E-2</v>
      </c>
    </row>
    <row r="14" spans="1:9" x14ac:dyDescent="0.2">
      <c r="A14">
        <v>2</v>
      </c>
      <c r="B14" t="s">
        <v>96</v>
      </c>
      <c r="C14">
        <v>19.011033333333334</v>
      </c>
      <c r="D14">
        <v>1096.1350416666812</v>
      </c>
      <c r="E14">
        <v>42866.541085916375</v>
      </c>
      <c r="F14">
        <v>8.5345009547463508</v>
      </c>
      <c r="G14">
        <v>8.0365832607818639</v>
      </c>
      <c r="H14" t="s">
        <v>95</v>
      </c>
      <c r="I14">
        <v>4.05762122970863E-2</v>
      </c>
    </row>
    <row r="15" spans="1:9" x14ac:dyDescent="0.2">
      <c r="A15" t="s">
        <v>97</v>
      </c>
      <c r="D15">
        <v>11487.296708333239</v>
      </c>
      <c r="E15">
        <v>486509.09637787839</v>
      </c>
      <c r="F15">
        <v>89.440024265310072</v>
      </c>
      <c r="G15">
        <v>91.210318377032294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3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5.85546875" customWidth="1"/>
    <col min="2" max="2" width="26.85546875" customWidth="1"/>
    <col min="3" max="3" width="14" customWidth="1"/>
    <col min="4" max="4" width="13.85546875" customWidth="1"/>
    <col min="5" max="5" width="14.85546875" customWidth="1"/>
    <col min="6" max="6" width="12.7109375" customWidth="1"/>
    <col min="7" max="7" width="13.85546875" customWidth="1"/>
    <col min="8" max="8" width="13" customWidth="1"/>
    <col min="9" max="9" width="9.7109375" customWidth="1"/>
  </cols>
  <sheetData>
    <row r="1" spans="1:8" ht="21" x14ac:dyDescent="0.2">
      <c r="A1" s="233" t="s">
        <v>98</v>
      </c>
      <c r="B1" s="234"/>
      <c r="C1" s="234"/>
      <c r="D1" s="234"/>
      <c r="E1" s="234"/>
      <c r="F1" s="234"/>
      <c r="G1" s="234"/>
      <c r="H1" s="235"/>
    </row>
    <row r="2" spans="1:8" ht="12.75" customHeight="1" x14ac:dyDescent="0.2">
      <c r="A2" s="88"/>
      <c r="B2" s="89"/>
      <c r="C2" s="89"/>
      <c r="D2" s="89"/>
      <c r="E2" s="89"/>
      <c r="F2" s="89"/>
      <c r="G2" s="89"/>
      <c r="H2" s="90"/>
    </row>
    <row r="3" spans="1:8" s="3" customFormat="1" ht="15.75" x14ac:dyDescent="0.25">
      <c r="A3" s="91" t="s">
        <v>99</v>
      </c>
      <c r="B3" s="92"/>
      <c r="C3" s="93" t="s">
        <v>90</v>
      </c>
      <c r="D3" s="92"/>
      <c r="E3" s="92"/>
      <c r="F3" s="92"/>
      <c r="G3" s="92"/>
      <c r="H3" s="94"/>
    </row>
    <row r="4" spans="1:8" ht="12.75" customHeight="1" x14ac:dyDescent="0.2">
      <c r="A4" s="17" t="s">
        <v>100</v>
      </c>
      <c r="C4" s="2" t="s">
        <v>101</v>
      </c>
      <c r="F4" s="95" t="s">
        <v>102</v>
      </c>
      <c r="G4" s="1"/>
      <c r="H4" s="96" t="s">
        <v>48</v>
      </c>
    </row>
    <row r="5" spans="1:8" ht="12.75" customHeight="1" x14ac:dyDescent="0.2">
      <c r="A5" s="17" t="s">
        <v>103</v>
      </c>
      <c r="B5" s="97"/>
      <c r="C5" s="2" t="s">
        <v>61</v>
      </c>
      <c r="F5" s="95" t="s">
        <v>104</v>
      </c>
      <c r="G5" s="1"/>
      <c r="H5" s="96" t="s">
        <v>48</v>
      </c>
    </row>
    <row r="6" spans="1:8" ht="12.75" customHeight="1" x14ac:dyDescent="0.2">
      <c r="A6" s="17" t="s">
        <v>105</v>
      </c>
      <c r="C6" s="98">
        <v>0</v>
      </c>
      <c r="F6" s="95" t="s">
        <v>106</v>
      </c>
      <c r="G6" s="1"/>
      <c r="H6" s="96" t="s">
        <v>48</v>
      </c>
    </row>
    <row r="7" spans="1:8" ht="12.75" customHeight="1" x14ac:dyDescent="0.2">
      <c r="A7" s="17" t="s">
        <v>107</v>
      </c>
      <c r="B7" s="99"/>
      <c r="C7" s="100">
        <v>0</v>
      </c>
      <c r="D7" s="99"/>
      <c r="E7" s="99"/>
      <c r="F7" s="101" t="s">
        <v>108</v>
      </c>
      <c r="G7" s="102"/>
      <c r="H7" s="103" t="s">
        <v>48</v>
      </c>
    </row>
    <row r="8" spans="1:8" s="4" customFormat="1" ht="12.75" customHeight="1" x14ac:dyDescent="0.2">
      <c r="A8" s="12"/>
      <c r="B8" s="18"/>
      <c r="C8" s="19"/>
      <c r="D8" s="2"/>
      <c r="E8" s="2"/>
      <c r="F8" s="18"/>
      <c r="G8" s="18"/>
      <c r="H8" s="46"/>
    </row>
    <row r="9" spans="1:8" ht="15.75" x14ac:dyDescent="0.25">
      <c r="A9" s="104" t="s">
        <v>109</v>
      </c>
      <c r="B9" s="105"/>
      <c r="C9" s="106" t="s">
        <v>90</v>
      </c>
      <c r="D9" s="105"/>
      <c r="E9" s="105"/>
      <c r="F9" s="105"/>
      <c r="G9" s="105"/>
      <c r="H9" s="107"/>
    </row>
    <row r="10" spans="1:8" ht="12.6" customHeight="1" x14ac:dyDescent="0.2"/>
    <row r="13" spans="1:8" ht="12.6" customHeight="1" x14ac:dyDescent="0.2"/>
    <row r="14" spans="1:8" ht="12.6" customHeight="1" x14ac:dyDescent="0.2"/>
    <row r="15" spans="1:8" ht="12.6" customHeight="1" x14ac:dyDescent="0.2"/>
    <row r="16" spans="1:8" ht="12.6" customHeight="1" x14ac:dyDescent="0.2"/>
    <row r="17" ht="12.6" customHeight="1" x14ac:dyDescent="0.2"/>
    <row r="18" ht="13.15" customHeight="1" x14ac:dyDescent="0.2"/>
    <row r="19" ht="13.15" customHeight="1" x14ac:dyDescent="0.2"/>
    <row r="36" spans="1:13" ht="15.75" x14ac:dyDescent="0.25">
      <c r="A36" s="91" t="s">
        <v>110</v>
      </c>
      <c r="B36" s="92"/>
      <c r="C36" s="106" t="s">
        <v>90</v>
      </c>
      <c r="D36" s="92"/>
      <c r="E36" s="92"/>
      <c r="F36" s="92"/>
      <c r="G36" s="92"/>
      <c r="H36" s="94"/>
    </row>
    <row r="37" spans="1:13" ht="12.75" customHeight="1" x14ac:dyDescent="0.2">
      <c r="A37" s="55" t="s">
        <v>111</v>
      </c>
      <c r="B37" s="56" t="s">
        <v>17</v>
      </c>
      <c r="C37" s="57" t="s">
        <v>20</v>
      </c>
      <c r="D37" s="57" t="s">
        <v>112</v>
      </c>
      <c r="E37" s="57" t="s">
        <v>113</v>
      </c>
      <c r="F37" s="57" t="s">
        <v>114</v>
      </c>
      <c r="G37" s="57" t="s">
        <v>115</v>
      </c>
      <c r="H37" s="57" t="s">
        <v>116</v>
      </c>
      <c r="I37" s="58"/>
    </row>
    <row r="38" spans="1:13" ht="12.75" customHeight="1" x14ac:dyDescent="0.2">
      <c r="A38" s="59" t="s">
        <v>23</v>
      </c>
      <c r="B38" s="60" t="s">
        <v>23</v>
      </c>
      <c r="C38" s="61" t="s">
        <v>23</v>
      </c>
      <c r="D38" s="61" t="s">
        <v>23</v>
      </c>
      <c r="E38" s="61" t="s">
        <v>117</v>
      </c>
      <c r="F38" s="61" t="s">
        <v>70</v>
      </c>
      <c r="G38" s="61" t="s">
        <v>68</v>
      </c>
      <c r="H38" s="61" t="s">
        <v>69</v>
      </c>
      <c r="I38" s="58"/>
    </row>
    <row r="39" spans="1:13" ht="12.75" customHeight="1" x14ac:dyDescent="0.2">
      <c r="A39" s="59" t="s">
        <v>23</v>
      </c>
      <c r="B39" s="60" t="s">
        <v>23</v>
      </c>
      <c r="C39" s="61" t="s">
        <v>23</v>
      </c>
      <c r="D39" s="61" t="s">
        <v>71</v>
      </c>
      <c r="E39" s="61" t="s">
        <v>71</v>
      </c>
      <c r="F39" s="61" t="s">
        <v>71</v>
      </c>
      <c r="G39" s="61" t="s">
        <v>71</v>
      </c>
      <c r="H39" s="61" t="s">
        <v>71</v>
      </c>
      <c r="I39" s="58"/>
    </row>
    <row r="40" spans="1:13" ht="12.75" hidden="1" customHeight="1" x14ac:dyDescent="0.2">
      <c r="A40" s="62" t="s">
        <v>23</v>
      </c>
      <c r="B40" s="63" t="s">
        <v>23</v>
      </c>
      <c r="C40" s="64" t="s">
        <v>23</v>
      </c>
      <c r="D40" s="64" t="s">
        <v>90</v>
      </c>
      <c r="E40" s="64" t="s">
        <v>90</v>
      </c>
      <c r="F40" s="64" t="s">
        <v>90</v>
      </c>
      <c r="G40" s="64" t="s">
        <v>90</v>
      </c>
      <c r="H40" s="64" t="s">
        <v>90</v>
      </c>
      <c r="I40" s="58"/>
    </row>
    <row r="41" spans="1:13" ht="12.75" hidden="1" customHeight="1" x14ac:dyDescent="0.2">
      <c r="A41" s="108" t="s">
        <v>48</v>
      </c>
      <c r="B41" s="109" t="s">
        <v>48</v>
      </c>
      <c r="C41" s="110" t="s">
        <v>48</v>
      </c>
      <c r="D41" s="111" t="s">
        <v>48</v>
      </c>
      <c r="E41" s="111" t="s">
        <v>48</v>
      </c>
      <c r="F41" s="112" t="s">
        <v>48</v>
      </c>
      <c r="G41" s="112" t="s">
        <v>48</v>
      </c>
      <c r="H41" s="112" t="s">
        <v>48</v>
      </c>
      <c r="I41" s="58"/>
      <c r="L41" s="239"/>
      <c r="M41" s="239"/>
    </row>
    <row r="42" spans="1:13" ht="12.75" hidden="1" customHeight="1" x14ac:dyDescent="0.2">
      <c r="A42" s="114" t="s">
        <v>48</v>
      </c>
      <c r="B42" s="115" t="s">
        <v>48</v>
      </c>
      <c r="C42" s="116" t="s">
        <v>48</v>
      </c>
      <c r="D42" s="117" t="s">
        <v>48</v>
      </c>
      <c r="E42" s="117" t="s">
        <v>48</v>
      </c>
      <c r="F42" s="118" t="s">
        <v>48</v>
      </c>
      <c r="G42" s="118" t="s">
        <v>48</v>
      </c>
      <c r="H42" s="118" t="s">
        <v>48</v>
      </c>
      <c r="I42" s="58"/>
    </row>
    <row r="43" spans="1:13" ht="12.75" customHeight="1" x14ac:dyDescent="0.2">
      <c r="A43" s="41"/>
      <c r="B43" s="41"/>
      <c r="C43" s="41"/>
      <c r="D43" s="41"/>
      <c r="E43" s="41"/>
      <c r="F43" s="41"/>
      <c r="G43" s="41"/>
      <c r="H43" s="41"/>
      <c r="I43" s="41"/>
      <c r="J43" s="41"/>
    </row>
  </sheetData>
  <mergeCells count="2">
    <mergeCell ref="L41:M41"/>
    <mergeCell ref="A1:H1"/>
  </mergeCells>
  <pageMargins left="0.77986109999999997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6"/>
  <sheetViews>
    <sheetView showOutlineSymbols="0" topLeftCell="A16" zoomScaleNormal="100" zoomScaleSheetLayoutView="100" workbookViewId="0">
      <selection activeCell="C1" sqref="A1:H1"/>
    </sheetView>
  </sheetViews>
  <sheetFormatPr defaultColWidth="9.140625" defaultRowHeight="12.75" customHeight="1" x14ac:dyDescent="0.2"/>
  <cols>
    <col min="1" max="1" width="5.28515625" customWidth="1"/>
    <col min="2" max="2" width="21.140625" customWidth="1"/>
    <col min="3" max="3" width="16" customWidth="1"/>
    <col min="4" max="4" width="11" customWidth="1"/>
    <col min="5" max="5" width="9.28515625" customWidth="1"/>
    <col min="6" max="6" width="15.42578125" customWidth="1"/>
    <col min="7" max="7" width="15.140625" customWidth="1"/>
    <col min="8" max="8" width="12.7109375" customWidth="1"/>
    <col min="9" max="9" width="1.7109375" customWidth="1"/>
  </cols>
  <sheetData>
    <row r="1" spans="1:8" ht="17.25" customHeight="1" x14ac:dyDescent="0.2">
      <c r="A1" s="233" t="s">
        <v>118</v>
      </c>
      <c r="B1" s="234"/>
      <c r="C1" s="234"/>
      <c r="D1" s="234"/>
      <c r="E1" s="234"/>
      <c r="F1" s="234"/>
      <c r="G1" s="234"/>
      <c r="H1" s="235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ht="12.75" customHeight="1" x14ac:dyDescent="0.2">
      <c r="A3" s="119" t="s">
        <v>15</v>
      </c>
      <c r="B3" s="120"/>
      <c r="C3" s="120"/>
      <c r="D3" s="120"/>
      <c r="E3" s="120"/>
      <c r="F3" s="120"/>
      <c r="G3" s="121"/>
      <c r="H3" s="122"/>
    </row>
    <row r="4" spans="1:8" ht="12.75" customHeight="1" x14ac:dyDescent="0.2">
      <c r="A4" s="123" t="s">
        <v>38</v>
      </c>
      <c r="B4" s="124"/>
      <c r="C4" s="125" t="s">
        <v>39</v>
      </c>
      <c r="D4" s="126"/>
      <c r="E4" s="126"/>
      <c r="F4" s="124" t="s">
        <v>40</v>
      </c>
      <c r="G4" s="127">
        <v>25.239616666666667</v>
      </c>
      <c r="H4" s="128"/>
    </row>
    <row r="5" spans="1:8" ht="12.75" customHeight="1" x14ac:dyDescent="0.2">
      <c r="A5" s="129" t="s">
        <v>41</v>
      </c>
      <c r="B5" s="130"/>
      <c r="C5" s="131" t="s">
        <v>23</v>
      </c>
      <c r="D5" s="132"/>
      <c r="E5" s="132"/>
      <c r="F5" s="130" t="s">
        <v>42</v>
      </c>
      <c r="G5" s="127">
        <v>1</v>
      </c>
      <c r="H5" s="128"/>
    </row>
    <row r="6" spans="1:8" s="3" customFormat="1" ht="12.75" customHeight="1" x14ac:dyDescent="0.2">
      <c r="A6" s="129" t="s">
        <v>43</v>
      </c>
      <c r="B6" s="130"/>
      <c r="C6" s="131" t="s">
        <v>36</v>
      </c>
      <c r="D6" s="132"/>
      <c r="E6" s="132"/>
      <c r="F6" s="130" t="s">
        <v>44</v>
      </c>
      <c r="G6" s="131" t="s">
        <v>45</v>
      </c>
      <c r="H6" s="133"/>
    </row>
    <row r="7" spans="1:8" ht="12" customHeight="1" x14ac:dyDescent="0.2">
      <c r="A7" s="129" t="s">
        <v>46</v>
      </c>
      <c r="B7" s="130"/>
      <c r="C7" s="131" t="s">
        <v>23</v>
      </c>
      <c r="D7" s="132"/>
      <c r="E7" s="132"/>
      <c r="F7" s="130" t="s">
        <v>47</v>
      </c>
      <c r="G7" s="131" t="s">
        <v>48</v>
      </c>
      <c r="H7" s="134"/>
    </row>
    <row r="8" spans="1:8" ht="12" customHeight="1" x14ac:dyDescent="0.2">
      <c r="A8" s="129" t="s">
        <v>49</v>
      </c>
      <c r="B8" s="130"/>
      <c r="C8" s="131" t="s">
        <v>23</v>
      </c>
      <c r="D8" s="132"/>
      <c r="E8" s="132"/>
      <c r="F8" s="130" t="s">
        <v>50</v>
      </c>
      <c r="G8" s="131" t="s">
        <v>48</v>
      </c>
      <c r="H8" s="133"/>
    </row>
    <row r="9" spans="1:8" ht="12" customHeight="1" x14ac:dyDescent="0.2">
      <c r="A9" s="129" t="s">
        <v>51</v>
      </c>
      <c r="B9" s="130"/>
      <c r="C9" s="131" t="s">
        <v>52</v>
      </c>
      <c r="D9" s="132"/>
      <c r="E9" s="132"/>
      <c r="F9" s="130" t="s">
        <v>53</v>
      </c>
      <c r="G9" s="135">
        <v>1</v>
      </c>
      <c r="H9" s="136"/>
    </row>
    <row r="10" spans="1:8" ht="12" customHeight="1" x14ac:dyDescent="0.2">
      <c r="A10" s="137" t="s">
        <v>54</v>
      </c>
      <c r="B10" s="138"/>
      <c r="C10" s="139">
        <v>46267.159722222219</v>
      </c>
      <c r="D10" s="140"/>
      <c r="E10" s="140"/>
      <c r="F10" s="138" t="s">
        <v>55</v>
      </c>
      <c r="G10" s="141">
        <v>1</v>
      </c>
      <c r="H10" s="142"/>
    </row>
    <row r="11" spans="1:8" ht="12" customHeight="1" x14ac:dyDescent="0.2">
      <c r="A11" s="18"/>
      <c r="B11" s="18"/>
      <c r="C11" s="51"/>
      <c r="D11" s="2"/>
      <c r="E11" s="2"/>
      <c r="F11" s="18"/>
      <c r="G11" s="18"/>
      <c r="H11" s="46"/>
    </row>
    <row r="12" spans="1:8" s="4" customFormat="1" ht="15.75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39" spans="1:9" ht="15" customHeight="1" x14ac:dyDescent="0.2">
      <c r="A39" s="143" t="s">
        <v>119</v>
      </c>
      <c r="B39" s="144"/>
      <c r="C39" s="144"/>
      <c r="D39" s="144"/>
      <c r="E39" s="144"/>
      <c r="F39" s="144"/>
      <c r="G39" s="144"/>
      <c r="H39" s="145"/>
    </row>
    <row r="40" spans="1:9" ht="12.75" customHeight="1" x14ac:dyDescent="0.2">
      <c r="A40" s="55" t="s">
        <v>58</v>
      </c>
      <c r="B40" s="56" t="s">
        <v>59</v>
      </c>
      <c r="C40" s="57" t="s">
        <v>120</v>
      </c>
      <c r="D40" s="57" t="s">
        <v>121</v>
      </c>
      <c r="E40" s="57" t="s">
        <v>122</v>
      </c>
      <c r="F40" s="57" t="s">
        <v>123</v>
      </c>
      <c r="G40" s="57" t="s">
        <v>124</v>
      </c>
      <c r="H40" s="57" t="s">
        <v>125</v>
      </c>
      <c r="I40" s="58"/>
    </row>
    <row r="41" spans="1:9" ht="12.75" customHeight="1" x14ac:dyDescent="0.2">
      <c r="A41" s="59" t="s">
        <v>23</v>
      </c>
      <c r="B41" s="60" t="s">
        <v>23</v>
      </c>
      <c r="C41" s="61" t="s">
        <v>67</v>
      </c>
      <c r="D41" s="61" t="s">
        <v>67</v>
      </c>
      <c r="E41" s="61" t="s">
        <v>23</v>
      </c>
      <c r="F41" s="61" t="s">
        <v>23</v>
      </c>
      <c r="G41" s="61" t="s">
        <v>23</v>
      </c>
      <c r="H41" s="61" t="s">
        <v>23</v>
      </c>
      <c r="I41" s="58"/>
    </row>
    <row r="42" spans="1:9" ht="12.75" hidden="1" customHeight="1" x14ac:dyDescent="0.2">
      <c r="A42" s="62" t="s">
        <v>71</v>
      </c>
      <c r="B42" s="63" t="s">
        <v>71</v>
      </c>
      <c r="C42" s="64" t="s">
        <v>71</v>
      </c>
      <c r="D42" s="64" t="s">
        <v>71</v>
      </c>
      <c r="E42" s="64" t="s">
        <v>71</v>
      </c>
      <c r="F42" s="64" t="s">
        <v>71</v>
      </c>
      <c r="G42" s="64" t="s">
        <v>71</v>
      </c>
      <c r="H42" s="64" t="s">
        <v>71</v>
      </c>
      <c r="I42" s="58"/>
    </row>
    <row r="43" spans="1:9" ht="12.75" customHeight="1" x14ac:dyDescent="0.2">
      <c r="A43" s="65">
        <v>2</v>
      </c>
      <c r="B43" s="109" t="s">
        <v>72</v>
      </c>
      <c r="C43" s="146">
        <v>7.3382166666666668</v>
      </c>
      <c r="D43" s="147">
        <v>6.9256654690152075E-2</v>
      </c>
      <c r="E43" s="148" t="s">
        <v>126</v>
      </c>
      <c r="F43" s="149">
        <v>17.950133617871071</v>
      </c>
      <c r="G43" s="149">
        <v>3.4839907256188094</v>
      </c>
      <c r="H43" s="148">
        <v>62197</v>
      </c>
    </row>
    <row r="44" spans="1:9" ht="12.75" customHeight="1" x14ac:dyDescent="0.2">
      <c r="A44" s="71">
        <v>22</v>
      </c>
      <c r="B44" s="150" t="s">
        <v>74</v>
      </c>
      <c r="C44" s="151">
        <v>8.7916000000000007</v>
      </c>
      <c r="D44" s="152">
        <v>2.8319295609819051E-2</v>
      </c>
      <c r="E44" s="153" t="s">
        <v>127</v>
      </c>
      <c r="F44" s="154">
        <v>7.0351008486487219</v>
      </c>
      <c r="G44" s="154">
        <v>2.5504692589274578</v>
      </c>
      <c r="H44" s="153">
        <v>533926</v>
      </c>
    </row>
    <row r="45" spans="1:9" ht="12.75" customHeight="1" x14ac:dyDescent="0.2">
      <c r="A45" s="71">
        <v>2</v>
      </c>
      <c r="B45" s="150" t="s">
        <v>76</v>
      </c>
      <c r="C45" s="151">
        <v>10.0962</v>
      </c>
      <c r="D45" s="152">
        <v>2.1725034422210854E-2</v>
      </c>
      <c r="E45" s="153" t="s">
        <v>128</v>
      </c>
      <c r="F45" s="154" t="s">
        <v>48</v>
      </c>
      <c r="G45" s="154">
        <v>1.2295670264130685</v>
      </c>
      <c r="H45" s="153">
        <v>1196478</v>
      </c>
    </row>
    <row r="46" spans="1:9" ht="12.75" customHeight="1" x14ac:dyDescent="0.2">
      <c r="A46" s="71">
        <v>4</v>
      </c>
      <c r="B46" s="150" t="s">
        <v>78</v>
      </c>
      <c r="C46" s="151">
        <v>11.274933333333333</v>
      </c>
      <c r="D46" s="152">
        <v>2.2678333367320391E-2</v>
      </c>
      <c r="E46" s="153" t="s">
        <v>126</v>
      </c>
      <c r="F46" s="154">
        <v>1.9020420115911405</v>
      </c>
      <c r="G46" s="154">
        <v>0.90207951334877612</v>
      </c>
      <c r="H46" s="153">
        <v>1369353</v>
      </c>
    </row>
    <row r="47" spans="1:9" ht="12.75" customHeight="1" x14ac:dyDescent="0.2">
      <c r="A47" s="71">
        <v>2</v>
      </c>
      <c r="B47" s="150" t="s">
        <v>80</v>
      </c>
      <c r="C47" s="151">
        <v>12.356383333333333</v>
      </c>
      <c r="D47" s="152">
        <v>2.0840638232122899E-2</v>
      </c>
      <c r="E47" s="153" t="s">
        <v>126</v>
      </c>
      <c r="F47" s="154" t="s">
        <v>48</v>
      </c>
      <c r="G47" s="154">
        <v>1.0743541935396306</v>
      </c>
      <c r="H47" s="153">
        <v>1947469</v>
      </c>
    </row>
    <row r="48" spans="1:9" ht="12.75" customHeight="1" x14ac:dyDescent="0.2">
      <c r="A48" s="71">
        <v>4</v>
      </c>
      <c r="B48" s="150" t="s">
        <v>82</v>
      </c>
      <c r="C48" s="151">
        <v>13.369183333333334</v>
      </c>
      <c r="D48" s="152">
        <v>2.1149684368818811E-2</v>
      </c>
      <c r="E48" s="153" t="s">
        <v>129</v>
      </c>
      <c r="F48" s="154" t="s">
        <v>48</v>
      </c>
      <c r="G48" s="154">
        <v>0.9015397492395083</v>
      </c>
      <c r="H48" s="153">
        <v>2213664</v>
      </c>
    </row>
    <row r="49" spans="1:9" ht="12.75" customHeight="1" x14ac:dyDescent="0.2">
      <c r="A49" s="71">
        <v>2</v>
      </c>
      <c r="B49" s="150" t="s">
        <v>84</v>
      </c>
      <c r="C49" s="151">
        <v>14.307583333333334</v>
      </c>
      <c r="D49" s="152">
        <v>2.1082301452869601E-2</v>
      </c>
      <c r="E49" s="153" t="s">
        <v>129</v>
      </c>
      <c r="F49" s="154" t="s">
        <v>48</v>
      </c>
      <c r="G49" s="154">
        <v>1.1508849436197521</v>
      </c>
      <c r="H49" s="153">
        <v>2551563</v>
      </c>
    </row>
    <row r="50" spans="1:9" ht="12.75" customHeight="1" x14ac:dyDescent="0.2">
      <c r="A50" s="71">
        <v>4</v>
      </c>
      <c r="B50" s="150" t="s">
        <v>86</v>
      </c>
      <c r="C50" s="151">
        <v>15.194483333333334</v>
      </c>
      <c r="D50" s="152">
        <v>2.1155086620360919E-2</v>
      </c>
      <c r="E50" s="153" t="s">
        <v>129</v>
      </c>
      <c r="F50" s="154">
        <v>2.0098273527030703</v>
      </c>
      <c r="G50" s="154">
        <v>1.1163284293847939</v>
      </c>
      <c r="H50" s="153">
        <v>2857933</v>
      </c>
    </row>
    <row r="51" spans="1:9" ht="12.75" customHeight="1" x14ac:dyDescent="0.2">
      <c r="A51" s="71">
        <v>4</v>
      </c>
      <c r="B51" s="150" t="s">
        <v>88</v>
      </c>
      <c r="C51" s="151">
        <v>16.035616666666666</v>
      </c>
      <c r="D51" s="152">
        <v>2.0557205773322096E-2</v>
      </c>
      <c r="E51" s="153" t="s">
        <v>126</v>
      </c>
      <c r="F51" s="154">
        <v>3.0829477315051115</v>
      </c>
      <c r="G51" s="154">
        <v>0.93427504450902954</v>
      </c>
      <c r="H51" s="153">
        <v>3370955</v>
      </c>
    </row>
    <row r="52" spans="1:9" ht="12.75" customHeight="1" x14ac:dyDescent="0.2">
      <c r="A52" s="71">
        <v>2</v>
      </c>
      <c r="B52" s="150" t="s">
        <v>90</v>
      </c>
      <c r="C52" s="151">
        <v>16.82525</v>
      </c>
      <c r="D52" s="152">
        <v>2.1081972838132401E-2</v>
      </c>
      <c r="E52" s="153" t="s">
        <v>128</v>
      </c>
      <c r="F52" s="154" t="s">
        <v>48</v>
      </c>
      <c r="G52" s="154">
        <v>0.97995575566098503</v>
      </c>
      <c r="H52" s="153">
        <v>3528664</v>
      </c>
    </row>
    <row r="53" spans="1:9" ht="12.75" customHeight="1" x14ac:dyDescent="0.2">
      <c r="A53" s="71">
        <v>2</v>
      </c>
      <c r="B53" s="150" t="s">
        <v>92</v>
      </c>
      <c r="C53" s="151">
        <v>17.574816666666667</v>
      </c>
      <c r="D53" s="152">
        <v>2.0662181997892048E-2</v>
      </c>
      <c r="E53" s="153" t="s">
        <v>126</v>
      </c>
      <c r="F53" s="154" t="s">
        <v>48</v>
      </c>
      <c r="G53" s="154">
        <v>1.0037650447634201</v>
      </c>
      <c r="H53" s="153">
        <v>4008104</v>
      </c>
    </row>
    <row r="54" spans="1:9" ht="12.75" customHeight="1" x14ac:dyDescent="0.2">
      <c r="A54" s="71">
        <v>2</v>
      </c>
      <c r="B54" s="150" t="s">
        <v>94</v>
      </c>
      <c r="C54" s="151">
        <v>18.290066666666668</v>
      </c>
      <c r="D54" s="152">
        <v>2.1722345939814147E-2</v>
      </c>
      <c r="E54" s="153" t="s">
        <v>126</v>
      </c>
      <c r="F54" s="154" t="s">
        <v>48</v>
      </c>
      <c r="G54" s="154">
        <v>0.92211549386681879</v>
      </c>
      <c r="H54" s="153">
        <v>3927597</v>
      </c>
    </row>
    <row r="55" spans="1:9" ht="12.75" customHeight="1" x14ac:dyDescent="0.2">
      <c r="A55" s="77">
        <v>2</v>
      </c>
      <c r="B55" s="115" t="s">
        <v>96</v>
      </c>
      <c r="C55" s="155">
        <v>19.011033333333334</v>
      </c>
      <c r="D55" s="156">
        <v>2.4142045582614458E-2</v>
      </c>
      <c r="E55" s="157" t="s">
        <v>126</v>
      </c>
      <c r="F55" s="158" t="s">
        <v>48</v>
      </c>
      <c r="G55" s="158">
        <v>0.96062510117513478</v>
      </c>
      <c r="H55" s="157">
        <v>3435367</v>
      </c>
    </row>
    <row r="56" spans="1:9" ht="12.75" customHeight="1" x14ac:dyDescent="0.2">
      <c r="A56" s="41"/>
      <c r="B56" s="41"/>
      <c r="C56" s="41"/>
      <c r="D56" s="41"/>
      <c r="E56" s="41"/>
      <c r="F56" s="41"/>
      <c r="G56" s="41"/>
      <c r="H56" s="41"/>
      <c r="I56" s="41"/>
    </row>
  </sheetData>
  <mergeCells count="1">
    <mergeCell ref="A1:H1"/>
  </mergeCells>
  <pageMargins left="0.77986109999999997" right="0.50972220000000001" top="0.99027779999999999" bottom="0.8" header="0.5" footer="0.5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3"/>
  <sheetViews>
    <sheetView zoomScaleNormal="100" zoomScaleSheetLayoutView="100" workbookViewId="0">
      <selection activeCell="C1" sqref="A1:F1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31" customWidth="1"/>
    <col min="4" max="4" width="12.5703125" customWidth="1"/>
    <col min="5" max="5" width="15.42578125" customWidth="1"/>
    <col min="6" max="6" width="14.7109375" customWidth="1"/>
    <col min="7" max="7" width="1.5703125" customWidth="1"/>
  </cols>
  <sheetData>
    <row r="1" spans="1:9" ht="21" x14ac:dyDescent="0.2">
      <c r="A1" s="240" t="s">
        <v>130</v>
      </c>
      <c r="B1" s="241"/>
      <c r="C1" s="241"/>
      <c r="D1" s="241"/>
      <c r="E1" s="241"/>
      <c r="F1" s="242"/>
    </row>
    <row r="2" spans="1:9" s="1" customFormat="1" x14ac:dyDescent="0.2">
      <c r="A2" s="5"/>
      <c r="B2" s="6"/>
      <c r="C2" s="6"/>
      <c r="D2" s="159"/>
      <c r="E2" s="6"/>
      <c r="F2" s="7"/>
    </row>
    <row r="3" spans="1:9" s="1" customFormat="1" ht="15.75" x14ac:dyDescent="0.2">
      <c r="A3" s="8" t="s">
        <v>15</v>
      </c>
      <c r="B3" s="9"/>
      <c r="C3" s="9"/>
      <c r="D3" s="160"/>
      <c r="E3" s="9"/>
      <c r="F3" s="161"/>
      <c r="G3" s="162"/>
      <c r="H3" s="162"/>
    </row>
    <row r="4" spans="1:9" s="2" customFormat="1" ht="12.75" customHeight="1" x14ac:dyDescent="0.2">
      <c r="A4" s="163" t="s">
        <v>38</v>
      </c>
      <c r="B4" s="164"/>
      <c r="C4" s="165" t="s">
        <v>39</v>
      </c>
      <c r="D4" s="166"/>
      <c r="E4" s="164" t="s">
        <v>40</v>
      </c>
      <c r="F4" s="167">
        <v>25.239616666666667</v>
      </c>
      <c r="G4" s="168"/>
      <c r="H4" s="168"/>
      <c r="I4" s="169"/>
    </row>
    <row r="5" spans="1:9" s="1" customFormat="1" ht="12.75" customHeight="1" x14ac:dyDescent="0.2">
      <c r="A5" s="170" t="s">
        <v>41</v>
      </c>
      <c r="B5" s="171"/>
      <c r="C5" s="172" t="s">
        <v>23</v>
      </c>
      <c r="D5" s="173"/>
      <c r="E5" s="171" t="s">
        <v>42</v>
      </c>
      <c r="F5" s="174">
        <v>1</v>
      </c>
      <c r="G5" s="168"/>
      <c r="H5" s="168"/>
      <c r="I5" s="175"/>
    </row>
    <row r="6" spans="1:9" s="1" customFormat="1" ht="12.75" customHeight="1" x14ac:dyDescent="0.2">
      <c r="A6" s="170" t="s">
        <v>43</v>
      </c>
      <c r="B6" s="171"/>
      <c r="C6" s="172" t="s">
        <v>36</v>
      </c>
      <c r="D6" s="173"/>
      <c r="E6" s="171" t="s">
        <v>44</v>
      </c>
      <c r="F6" s="176" t="s">
        <v>45</v>
      </c>
      <c r="G6" s="177"/>
      <c r="H6" s="177"/>
      <c r="I6" s="175"/>
    </row>
    <row r="7" spans="1:9" s="1" customFormat="1" ht="12.75" customHeight="1" x14ac:dyDescent="0.2">
      <c r="A7" s="170" t="s">
        <v>46</v>
      </c>
      <c r="B7" s="171"/>
      <c r="C7" s="172" t="s">
        <v>23</v>
      </c>
      <c r="D7" s="173"/>
      <c r="E7" s="171" t="s">
        <v>47</v>
      </c>
      <c r="F7" s="176" t="s">
        <v>48</v>
      </c>
      <c r="G7" s="177"/>
      <c r="H7" s="178"/>
      <c r="I7" s="175"/>
    </row>
    <row r="8" spans="1:9" s="1" customFormat="1" ht="12.75" customHeight="1" x14ac:dyDescent="0.2">
      <c r="A8" s="170" t="s">
        <v>49</v>
      </c>
      <c r="B8" s="171"/>
      <c r="C8" s="172" t="s">
        <v>23</v>
      </c>
      <c r="D8" s="173"/>
      <c r="E8" s="171" t="s">
        <v>50</v>
      </c>
      <c r="F8" s="176" t="s">
        <v>48</v>
      </c>
      <c r="G8" s="177"/>
      <c r="H8" s="177"/>
      <c r="I8" s="175"/>
    </row>
    <row r="9" spans="1:9" s="1" customFormat="1" ht="12.75" customHeight="1" x14ac:dyDescent="0.2">
      <c r="A9" s="170" t="s">
        <v>51</v>
      </c>
      <c r="B9" s="171"/>
      <c r="C9" s="172" t="s">
        <v>52</v>
      </c>
      <c r="D9" s="173"/>
      <c r="E9" s="171" t="s">
        <v>53</v>
      </c>
      <c r="F9" s="179">
        <v>1</v>
      </c>
      <c r="G9" s="180"/>
      <c r="H9" s="180"/>
      <c r="I9" s="175"/>
    </row>
    <row r="10" spans="1:9" s="2" customFormat="1" ht="12.75" customHeight="1" x14ac:dyDescent="0.2">
      <c r="A10" s="181" t="s">
        <v>54</v>
      </c>
      <c r="B10" s="182"/>
      <c r="C10" s="183">
        <v>46267.159722222219</v>
      </c>
      <c r="D10" s="184"/>
      <c r="E10" s="182" t="s">
        <v>55</v>
      </c>
      <c r="F10" s="185">
        <v>1</v>
      </c>
      <c r="G10" s="180"/>
      <c r="H10" s="180"/>
      <c r="I10" s="169"/>
    </row>
    <row r="11" spans="1:9" s="2" customFormat="1" ht="12.75" customHeight="1" x14ac:dyDescent="0.2">
      <c r="A11" s="18"/>
      <c r="B11" s="18"/>
      <c r="C11" s="51"/>
      <c r="E11" s="18"/>
      <c r="F11" s="18"/>
      <c r="G11" s="186"/>
      <c r="H11" s="186"/>
    </row>
    <row r="12" spans="1:9" s="2" customFormat="1" ht="12.75" customHeight="1" x14ac:dyDescent="0.2">
      <c r="A12" s="29" t="s">
        <v>56</v>
      </c>
      <c r="B12" s="30"/>
      <c r="C12" s="30"/>
      <c r="D12" s="187"/>
      <c r="E12" s="30"/>
      <c r="F12" s="31"/>
    </row>
    <row r="13" spans="1:9" s="2" customFormat="1" ht="12.75" customHeight="1" x14ac:dyDescent="0.2">
      <c r="A13"/>
      <c r="B13"/>
      <c r="C13"/>
      <c r="D13"/>
      <c r="E13"/>
      <c r="F13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7" ht="12.75" customHeight="1" x14ac:dyDescent="0.2"/>
    <row r="34" spans="1:7" ht="12.75" customHeight="1" x14ac:dyDescent="0.2"/>
    <row r="35" spans="1:7" ht="12.75" customHeight="1" x14ac:dyDescent="0.2"/>
    <row r="36" spans="1:7" ht="12.75" customHeight="1" x14ac:dyDescent="0.2"/>
    <row r="37" spans="1:7" ht="12.75" customHeight="1" x14ac:dyDescent="0.2"/>
    <row r="38" spans="1:7" ht="12.75" customHeight="1" x14ac:dyDescent="0.2"/>
    <row r="39" spans="1:7" ht="15.75" x14ac:dyDescent="0.2">
      <c r="A39" s="29" t="s">
        <v>131</v>
      </c>
      <c r="B39" s="30"/>
      <c r="C39" s="30"/>
      <c r="D39" s="187"/>
      <c r="E39" s="30"/>
      <c r="F39" s="31"/>
    </row>
    <row r="40" spans="1:7" x14ac:dyDescent="0.2">
      <c r="A40" s="188" t="s">
        <v>58</v>
      </c>
      <c r="B40" s="188" t="s">
        <v>132</v>
      </c>
      <c r="C40" s="188" t="s">
        <v>133</v>
      </c>
      <c r="D40" s="188" t="s">
        <v>134</v>
      </c>
      <c r="E40" s="189" t="s">
        <v>135</v>
      </c>
      <c r="F40" s="188" t="s">
        <v>136</v>
      </c>
      <c r="G40" s="58"/>
    </row>
    <row r="41" spans="1:7" hidden="1" x14ac:dyDescent="0.2">
      <c r="A41" s="190" t="s">
        <v>48</v>
      </c>
      <c r="B41" s="191" t="s">
        <v>48</v>
      </c>
      <c r="C41" s="191" t="s">
        <v>48</v>
      </c>
      <c r="D41" s="191" t="s">
        <v>48</v>
      </c>
      <c r="E41" s="192" t="s">
        <v>48</v>
      </c>
      <c r="F41" s="191" t="s">
        <v>48</v>
      </c>
    </row>
    <row r="42" spans="1:7" hidden="1" x14ac:dyDescent="0.2">
      <c r="A42" s="190" t="s">
        <v>48</v>
      </c>
      <c r="B42" s="191" t="s">
        <v>48</v>
      </c>
      <c r="C42" s="191" t="s">
        <v>48</v>
      </c>
      <c r="D42" s="191" t="s">
        <v>48</v>
      </c>
      <c r="E42" s="192" t="s">
        <v>48</v>
      </c>
      <c r="F42" s="191" t="s">
        <v>48</v>
      </c>
    </row>
    <row r="43" spans="1:7" ht="17.25" customHeight="1" x14ac:dyDescent="0.2">
      <c r="A43" s="83"/>
      <c r="B43" s="193" t="s">
        <v>137</v>
      </c>
      <c r="C43" s="194" t="str">
        <f ca="1">IF(AND(E41="n.a.",INDIRECT(ADDRESS(ROW(E41)+1,COLUMN(E41)))="n.a."),"n.a.",ROWS(E41:E42)-COUNTIF(E41:E42,"Not Executed")-COUNTIF(E41:E42,"n.a.")-COUNTIF(E41:E42,""))</f>
        <v>n.a.</v>
      </c>
      <c r="D43" s="195" t="s">
        <v>138</v>
      </c>
      <c r="E43" s="196" t="s">
        <v>48</v>
      </c>
      <c r="F43" s="197"/>
    </row>
  </sheetData>
  <mergeCells count="1">
    <mergeCell ref="A1:F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6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7.5703125" style="113" customWidth="1"/>
    <col min="2" max="2" width="22" style="2" customWidth="1"/>
    <col min="3" max="3" width="13.28515625" style="113" customWidth="1"/>
    <col min="4" max="6" width="12.85546875" style="113" customWidth="1"/>
    <col min="7" max="7" width="17.5703125" style="113" customWidth="1"/>
    <col min="8" max="8" width="12.85546875" style="113" customWidth="1"/>
    <col min="9" max="9" width="11.28515625" customWidth="1"/>
  </cols>
  <sheetData>
    <row r="1" spans="1:8" ht="21" x14ac:dyDescent="0.2">
      <c r="A1" s="233" t="s">
        <v>139</v>
      </c>
      <c r="B1" s="234"/>
      <c r="C1" s="234"/>
      <c r="D1" s="234"/>
      <c r="E1" s="234"/>
      <c r="F1" s="234"/>
      <c r="G1" s="234"/>
      <c r="H1" s="235"/>
    </row>
    <row r="2" spans="1:8" ht="13.9" customHeight="1" x14ac:dyDescent="0.2">
      <c r="A2" s="198"/>
      <c r="B2" s="199"/>
      <c r="C2" s="199"/>
      <c r="D2" s="199"/>
      <c r="E2" s="199"/>
      <c r="F2" s="199"/>
      <c r="G2" s="199"/>
      <c r="H2" s="200"/>
    </row>
    <row r="3" spans="1:8" ht="12.75" customHeight="1" x14ac:dyDescent="0.2">
      <c r="A3" s="29" t="s">
        <v>1</v>
      </c>
      <c r="B3" s="30"/>
      <c r="C3" s="30"/>
      <c r="D3" s="30"/>
      <c r="E3" s="30"/>
      <c r="F3" s="30"/>
      <c r="G3" s="30"/>
      <c r="H3" s="31"/>
    </row>
    <row r="4" spans="1:8" ht="12.75" customHeight="1" x14ac:dyDescent="0.2">
      <c r="A4" s="17" t="s">
        <v>2</v>
      </c>
      <c r="B4" s="18"/>
      <c r="C4" s="125" t="s">
        <v>140</v>
      </c>
      <c r="D4" s="2"/>
      <c r="E4" s="2"/>
      <c r="F4" s="18" t="s">
        <v>4</v>
      </c>
      <c r="G4" s="201">
        <v>46293.612174999995</v>
      </c>
      <c r="H4" s="21"/>
    </row>
    <row r="5" spans="1:8" ht="12.75" customHeight="1" x14ac:dyDescent="0.2">
      <c r="A5" s="17" t="s">
        <v>5</v>
      </c>
      <c r="B5" s="18"/>
      <c r="C5" s="131" t="s">
        <v>141</v>
      </c>
      <c r="D5" s="2"/>
      <c r="E5" s="2"/>
      <c r="F5" s="18" t="s">
        <v>7</v>
      </c>
      <c r="G5" s="133" t="s">
        <v>142</v>
      </c>
      <c r="H5" s="20"/>
    </row>
    <row r="6" spans="1:8" ht="12.75" customHeight="1" x14ac:dyDescent="0.2">
      <c r="A6" s="17" t="s">
        <v>9</v>
      </c>
      <c r="B6" s="18"/>
      <c r="C6" s="131" t="s">
        <v>143</v>
      </c>
      <c r="D6" s="2"/>
      <c r="E6" s="2"/>
      <c r="F6" s="18" t="s">
        <v>11</v>
      </c>
      <c r="G6" s="202">
        <v>46293.643560417404</v>
      </c>
      <c r="H6" s="21"/>
    </row>
    <row r="7" spans="1:8" ht="12.75" customHeight="1" x14ac:dyDescent="0.2">
      <c r="A7" s="22" t="s">
        <v>12</v>
      </c>
      <c r="B7" s="23"/>
      <c r="C7" s="203">
        <v>1</v>
      </c>
      <c r="D7" s="25"/>
      <c r="E7" s="25"/>
      <c r="F7" s="23" t="s">
        <v>13</v>
      </c>
      <c r="G7" s="204" t="s">
        <v>144</v>
      </c>
      <c r="H7" s="26"/>
    </row>
    <row r="8" spans="1:8" ht="12.75" customHeight="1" x14ac:dyDescent="0.2">
      <c r="A8" s="205"/>
      <c r="B8"/>
      <c r="C8"/>
      <c r="D8"/>
      <c r="E8"/>
      <c r="F8"/>
      <c r="G8"/>
      <c r="H8" s="206"/>
    </row>
    <row r="9" spans="1:8" ht="13.9" customHeight="1" x14ac:dyDescent="0.25">
      <c r="A9" s="29" t="s">
        <v>145</v>
      </c>
      <c r="B9" s="30"/>
      <c r="C9" s="207" t="s">
        <v>90</v>
      </c>
      <c r="D9" s="30"/>
      <c r="E9" s="30"/>
      <c r="F9" s="30"/>
      <c r="G9" s="30"/>
      <c r="H9" s="208"/>
    </row>
    <row r="11" spans="1:8" ht="12.75" customHeight="1" x14ac:dyDescent="0.2">
      <c r="A11" s="209" t="s">
        <v>16</v>
      </c>
      <c r="B11" s="209" t="s">
        <v>17</v>
      </c>
      <c r="C11" s="210" t="s">
        <v>120</v>
      </c>
      <c r="D11" s="210" t="s">
        <v>115</v>
      </c>
      <c r="E11" s="210" t="s">
        <v>116</v>
      </c>
      <c r="F11" s="210" t="s">
        <v>146</v>
      </c>
      <c r="G11" s="210" t="s">
        <v>147</v>
      </c>
      <c r="H11" s="210" t="s">
        <v>148</v>
      </c>
    </row>
    <row r="12" spans="1:8" ht="12.75" customHeight="1" x14ac:dyDescent="0.2">
      <c r="A12" s="211" t="s">
        <v>23</v>
      </c>
      <c r="B12" s="211" t="s">
        <v>23</v>
      </c>
      <c r="C12" s="212" t="s">
        <v>67</v>
      </c>
      <c r="D12" s="212" t="s">
        <v>68</v>
      </c>
      <c r="E12" s="212" t="s">
        <v>69</v>
      </c>
      <c r="F12" s="212" t="s">
        <v>23</v>
      </c>
      <c r="G12" s="212" t="s">
        <v>70</v>
      </c>
      <c r="H12" s="212" t="s">
        <v>23</v>
      </c>
    </row>
    <row r="13" spans="1:8" ht="12.75" customHeight="1" x14ac:dyDescent="0.2">
      <c r="A13" s="211" t="s">
        <v>23</v>
      </c>
      <c r="B13" s="211" t="s">
        <v>23</v>
      </c>
      <c r="C13" s="212" t="s">
        <v>71</v>
      </c>
      <c r="D13" s="212" t="s">
        <v>71</v>
      </c>
      <c r="E13" s="212" t="s">
        <v>71</v>
      </c>
      <c r="F13" s="212" t="s">
        <v>71</v>
      </c>
      <c r="G13" s="212" t="s">
        <v>71</v>
      </c>
      <c r="H13" s="212" t="s">
        <v>71</v>
      </c>
    </row>
    <row r="14" spans="1:8" ht="12.75" hidden="1" customHeight="1" x14ac:dyDescent="0.2">
      <c r="A14" s="213" t="s">
        <v>23</v>
      </c>
      <c r="B14" s="213" t="s">
        <v>23</v>
      </c>
      <c r="C14" s="214" t="s">
        <v>90</v>
      </c>
      <c r="D14" s="214" t="s">
        <v>90</v>
      </c>
      <c r="E14" s="214" t="s">
        <v>90</v>
      </c>
      <c r="F14" s="214" t="s">
        <v>90</v>
      </c>
      <c r="G14" s="214" t="s">
        <v>90</v>
      </c>
      <c r="H14" s="214" t="s">
        <v>90</v>
      </c>
    </row>
    <row r="15" spans="1:8" ht="12.75" customHeight="1" x14ac:dyDescent="0.2">
      <c r="A15" s="215">
        <v>1</v>
      </c>
      <c r="B15" s="216" t="s">
        <v>39</v>
      </c>
      <c r="C15" s="217">
        <v>16.82525</v>
      </c>
      <c r="D15" s="217">
        <v>1070.8453833333519</v>
      </c>
      <c r="E15" s="217">
        <v>47528</v>
      </c>
      <c r="F15" s="218" t="s">
        <v>48</v>
      </c>
      <c r="G15" s="219">
        <v>8.3375958244598216</v>
      </c>
      <c r="H15" s="220" t="s">
        <v>128</v>
      </c>
    </row>
    <row r="16" spans="1:8" ht="12.75" hidden="1" customHeight="1" x14ac:dyDescent="0.2">
      <c r="A16" s="221" t="s">
        <v>48</v>
      </c>
      <c r="B16" s="222" t="s">
        <v>48</v>
      </c>
      <c r="C16" s="223" t="s">
        <v>48</v>
      </c>
      <c r="D16" s="223" t="s">
        <v>48</v>
      </c>
      <c r="E16" s="223" t="s">
        <v>48</v>
      </c>
      <c r="F16" s="224" t="s">
        <v>48</v>
      </c>
      <c r="G16" s="225" t="s">
        <v>48</v>
      </c>
      <c r="H16" s="226" t="s">
        <v>48</v>
      </c>
    </row>
  </sheetData>
  <mergeCells count="1">
    <mergeCell ref="A1:H1"/>
  </mergeCells>
  <pageMargins left="0.50972220000000001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16"/>
  <sheetViews>
    <sheetView showOutlineSymbols="0" zoomScaleNormal="100" zoomScaleSheetLayoutView="100" workbookViewId="0">
      <selection activeCell="B1" sqref="A1:H1"/>
    </sheetView>
  </sheetViews>
  <sheetFormatPr defaultRowHeight="12.75" customHeight="1" x14ac:dyDescent="0.2"/>
  <cols>
    <col min="2" max="2" width="10.28515625" customWidth="1"/>
    <col min="3" max="3" width="23.5703125" customWidth="1"/>
    <col min="4" max="4" width="16.140625" customWidth="1"/>
    <col min="5" max="5" width="12.140625" customWidth="1"/>
    <col min="6" max="6" width="10.28515625" customWidth="1"/>
    <col min="8" max="8" width="13.5703125" customWidth="1"/>
  </cols>
  <sheetData>
    <row r="1" spans="1:8" ht="21" x14ac:dyDescent="0.2">
      <c r="A1" s="233" t="s">
        <v>149</v>
      </c>
      <c r="B1" s="234"/>
      <c r="C1" s="234"/>
      <c r="D1" s="234"/>
      <c r="E1" s="234"/>
      <c r="F1" s="234"/>
      <c r="G1" s="234"/>
      <c r="H1" s="235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3" customFormat="1" ht="15.6" customHeight="1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ht="13.9" customHeight="1" x14ac:dyDescent="0.2">
      <c r="A4" s="11" t="s">
        <v>38</v>
      </c>
      <c r="B4" s="12"/>
      <c r="C4" s="125" t="s">
        <v>39</v>
      </c>
      <c r="D4" s="14"/>
      <c r="E4" s="12" t="s">
        <v>40</v>
      </c>
      <c r="F4" s="12"/>
      <c r="G4" s="127">
        <v>25.239616666666667</v>
      </c>
      <c r="H4" s="44"/>
    </row>
    <row r="5" spans="1:8" ht="13.9" customHeight="1" x14ac:dyDescent="0.2">
      <c r="A5" s="17" t="s">
        <v>41</v>
      </c>
      <c r="B5" s="18"/>
      <c r="C5" s="131" t="s">
        <v>23</v>
      </c>
      <c r="D5" s="2"/>
      <c r="E5" s="18" t="s">
        <v>42</v>
      </c>
      <c r="F5" s="18"/>
      <c r="G5" s="127">
        <v>1</v>
      </c>
      <c r="H5" s="44"/>
    </row>
    <row r="6" spans="1:8" ht="13.9" customHeight="1" x14ac:dyDescent="0.2">
      <c r="A6" s="17" t="s">
        <v>43</v>
      </c>
      <c r="B6" s="18"/>
      <c r="C6" s="131" t="s">
        <v>36</v>
      </c>
      <c r="D6" s="2"/>
      <c r="E6" s="18" t="s">
        <v>44</v>
      </c>
      <c r="F6" s="18"/>
      <c r="G6" s="131" t="s">
        <v>45</v>
      </c>
      <c r="H6" s="20"/>
    </row>
    <row r="7" spans="1:8" ht="13.9" customHeight="1" x14ac:dyDescent="0.2">
      <c r="A7" s="17" t="s">
        <v>46</v>
      </c>
      <c r="B7" s="18"/>
      <c r="C7" s="131" t="s">
        <v>23</v>
      </c>
      <c r="D7" s="2"/>
      <c r="E7" s="18" t="s">
        <v>47</v>
      </c>
      <c r="F7" s="18"/>
      <c r="G7" s="131" t="s">
        <v>48</v>
      </c>
      <c r="H7" s="45"/>
    </row>
    <row r="8" spans="1:8" ht="14.45" customHeight="1" x14ac:dyDescent="0.2">
      <c r="A8" s="17" t="s">
        <v>49</v>
      </c>
      <c r="B8" s="18"/>
      <c r="C8" s="131" t="s">
        <v>23</v>
      </c>
      <c r="D8" s="2"/>
      <c r="E8" s="18" t="s">
        <v>50</v>
      </c>
      <c r="F8" s="18"/>
      <c r="G8" s="131" t="s">
        <v>48</v>
      </c>
      <c r="H8" s="20"/>
    </row>
    <row r="9" spans="1:8" s="4" customFormat="1" ht="16.899999999999999" customHeight="1" x14ac:dyDescent="0.2">
      <c r="A9" s="17" t="s">
        <v>51</v>
      </c>
      <c r="B9" s="18"/>
      <c r="C9" s="131" t="s">
        <v>52</v>
      </c>
      <c r="D9" s="2"/>
      <c r="E9" s="18" t="s">
        <v>53</v>
      </c>
      <c r="F9" s="18"/>
      <c r="G9" s="135">
        <v>1</v>
      </c>
      <c r="H9" s="47"/>
    </row>
    <row r="10" spans="1:8" s="4" customFormat="1" ht="12.75" customHeight="1" x14ac:dyDescent="0.2">
      <c r="A10" s="22" t="s">
        <v>54</v>
      </c>
      <c r="B10" s="23"/>
      <c r="C10" s="139">
        <v>46267.159722222219</v>
      </c>
      <c r="D10" s="25"/>
      <c r="E10" s="23" t="s">
        <v>55</v>
      </c>
      <c r="F10" s="23"/>
      <c r="G10" s="141">
        <v>1</v>
      </c>
      <c r="H10" s="50"/>
    </row>
    <row r="11" spans="1:8" s="4" customFormat="1" ht="12.75" customHeight="1" x14ac:dyDescent="0.2">
      <c r="A11" s="227"/>
      <c r="B11" s="227"/>
      <c r="C11" s="228"/>
      <c r="F11" s="227"/>
      <c r="G11" s="227"/>
      <c r="H11" s="229"/>
    </row>
    <row r="12" spans="1:8" ht="13.9" customHeight="1" x14ac:dyDescent="0.2"/>
    <row r="13" spans="1:8" ht="12.75" customHeight="1" x14ac:dyDescent="0.2">
      <c r="A13" s="230" t="s">
        <v>150</v>
      </c>
      <c r="B13" s="230" t="s">
        <v>151</v>
      </c>
      <c r="C13" s="230" t="s">
        <v>152</v>
      </c>
      <c r="D13" s="230"/>
    </row>
    <row r="14" spans="1:8" ht="12.75" customHeight="1" x14ac:dyDescent="0.2">
      <c r="A14" s="231"/>
      <c r="B14" s="231" t="s">
        <v>67</v>
      </c>
      <c r="C14" s="231"/>
      <c r="D14" s="231"/>
    </row>
    <row r="15" spans="1:8" ht="15" customHeight="1" x14ac:dyDescent="0.2">
      <c r="A15" s="232" t="s">
        <v>153</v>
      </c>
      <c r="B15" s="232"/>
      <c r="C15" s="232"/>
      <c r="D15" s="232"/>
    </row>
    <row r="16" spans="1:8" ht="15" hidden="1" customHeight="1" x14ac:dyDescent="0.2">
      <c r="A16" s="232" t="s">
        <v>48</v>
      </c>
      <c r="B16" s="232" t="s">
        <v>48</v>
      </c>
      <c r="C16" s="232" t="s">
        <v>48</v>
      </c>
      <c r="D16" s="232" t="s">
        <v>48</v>
      </c>
    </row>
    <row r="17" spans="1:4" ht="12.75" customHeight="1" x14ac:dyDescent="0.2">
      <c r="A17" s="41"/>
      <c r="B17" s="41"/>
      <c r="C17" s="41"/>
      <c r="D17" s="41"/>
    </row>
    <row r="33" customFormat="1" ht="12.75" customHeight="1" x14ac:dyDescent="0.2"/>
    <row r="34" customFormat="1" ht="12.75" customHeight="1" x14ac:dyDescent="0.2"/>
    <row r="35" customFormat="1" ht="12.75" customHeight="1" x14ac:dyDescent="0.2"/>
    <row r="36" customFormat="1" ht="12.75" customHeight="1" x14ac:dyDescent="0.2"/>
    <row r="37" customFormat="1" ht="12.75" customHeight="1" x14ac:dyDescent="0.2"/>
    <row r="38" customFormat="1" ht="12.75" customHeight="1" x14ac:dyDescent="0.2"/>
    <row r="39" customFormat="1" ht="12.75" customHeight="1" x14ac:dyDescent="0.2"/>
    <row r="40" customFormat="1" ht="12.75" customHeight="1" x14ac:dyDescent="0.2"/>
    <row r="41" customFormat="1" ht="12.75" customHeight="1" x14ac:dyDescent="0.2"/>
    <row r="42" customFormat="1" ht="12.75" customHeight="1" x14ac:dyDescent="0.2"/>
    <row r="43" customFormat="1" ht="12.75" customHeight="1" x14ac:dyDescent="0.2"/>
    <row r="44" customFormat="1" ht="12.75" customHeight="1" x14ac:dyDescent="0.2"/>
    <row r="45" customFormat="1" ht="12.75" customHeight="1" x14ac:dyDescent="0.2"/>
    <row r="46" customFormat="1" ht="12.75" customHeight="1" x14ac:dyDescent="0.2"/>
    <row r="47" customFormat="1" ht="12.75" customHeight="1" x14ac:dyDescent="0.2"/>
    <row r="48" customFormat="1" ht="12.75" customHeight="1" x14ac:dyDescent="0.2"/>
    <row r="49" customFormat="1" ht="12.75" customHeight="1" x14ac:dyDescent="0.2"/>
    <row r="50" customFormat="1" ht="12.75" customHeight="1" x14ac:dyDescent="0.2"/>
    <row r="51" customFormat="1" ht="12.75" customHeight="1" x14ac:dyDescent="0.2"/>
    <row r="52" customFormat="1" ht="12.75" customHeight="1" x14ac:dyDescent="0.2"/>
    <row r="53" customFormat="1" ht="12.75" customHeight="1" x14ac:dyDescent="0.2"/>
    <row r="54" customFormat="1" ht="12.75" customHeight="1" x14ac:dyDescent="0.2"/>
    <row r="55" customFormat="1" ht="12.75" customHeight="1" x14ac:dyDescent="0.2"/>
    <row r="56" customFormat="1" ht="12.75" customHeight="1" x14ac:dyDescent="0.2"/>
    <row r="57" customFormat="1" ht="12.75" customHeight="1" x14ac:dyDescent="0.2"/>
    <row r="58" customFormat="1" ht="12.75" customHeight="1" x14ac:dyDescent="0.2"/>
    <row r="59" customFormat="1" ht="12.75" customHeight="1" x14ac:dyDescent="0.2"/>
    <row r="60" customFormat="1" ht="12.75" customHeight="1" x14ac:dyDescent="0.2"/>
    <row r="61" customFormat="1" ht="12.75" customHeight="1" x14ac:dyDescent="0.2"/>
    <row r="62" customFormat="1" ht="12.75" customHeight="1" x14ac:dyDescent="0.2"/>
    <row r="63" customFormat="1" ht="12.75" customHeight="1" x14ac:dyDescent="0.2"/>
    <row r="64" customFormat="1" ht="12.75" customHeight="1" x14ac:dyDescent="0.2"/>
    <row r="65" customFormat="1" ht="12.75" customHeight="1" x14ac:dyDescent="0.2"/>
    <row r="66" customFormat="1" ht="12.75" customHeight="1" x14ac:dyDescent="0.2"/>
    <row r="67" customFormat="1" ht="12.75" customHeight="1" x14ac:dyDescent="0.2"/>
    <row r="68" customFormat="1" ht="12.75" customHeight="1" x14ac:dyDescent="0.2"/>
    <row r="69" customFormat="1" ht="12.75" customHeight="1" x14ac:dyDescent="0.2"/>
    <row r="70" customFormat="1" ht="12.75" customHeight="1" x14ac:dyDescent="0.2"/>
    <row r="71" customFormat="1" ht="12.75" customHeight="1" x14ac:dyDescent="0.2"/>
    <row r="72" customFormat="1" ht="12.75" customHeight="1" x14ac:dyDescent="0.2"/>
    <row r="73" customFormat="1" ht="12.75" customHeight="1" x14ac:dyDescent="0.2"/>
    <row r="74" customFormat="1" ht="12.75" customHeight="1" x14ac:dyDescent="0.2"/>
    <row r="75" customFormat="1" ht="12.75" customHeight="1" x14ac:dyDescent="0.2"/>
    <row r="76" customFormat="1" ht="12.75" customHeight="1" x14ac:dyDescent="0.2"/>
    <row r="77" customFormat="1" ht="12.75" customHeight="1" x14ac:dyDescent="0.2"/>
    <row r="78" customFormat="1" ht="12.75" customHeight="1" x14ac:dyDescent="0.2"/>
    <row r="79" customFormat="1" ht="12.75" customHeight="1" x14ac:dyDescent="0.2"/>
    <row r="80" customFormat="1" ht="12.75" customHeight="1" x14ac:dyDescent="0.2"/>
    <row r="81" customFormat="1" ht="12.75" customHeight="1" x14ac:dyDescent="0.2"/>
    <row r="82" customFormat="1" ht="12.75" customHeight="1" x14ac:dyDescent="0.2"/>
    <row r="83" customFormat="1" ht="12.75" customHeight="1" x14ac:dyDescent="0.2"/>
    <row r="84" customFormat="1" ht="12.75" customHeight="1" x14ac:dyDescent="0.2"/>
    <row r="85" customFormat="1" ht="12.75" customHeight="1" x14ac:dyDescent="0.2"/>
    <row r="86" customFormat="1" ht="12.75" customHeight="1" x14ac:dyDescent="0.2"/>
    <row r="87" customFormat="1" ht="12.75" customHeight="1" x14ac:dyDescent="0.2"/>
    <row r="88" customFormat="1" ht="12.75" customHeight="1" x14ac:dyDescent="0.2"/>
    <row r="89" customFormat="1" ht="12.75" customHeight="1" x14ac:dyDescent="0.2"/>
    <row r="90" customFormat="1" ht="12.75" customHeight="1" x14ac:dyDescent="0.2"/>
    <row r="91" customFormat="1" ht="12.75" customHeight="1" x14ac:dyDescent="0.2"/>
    <row r="92" customFormat="1" ht="12.75" customHeight="1" x14ac:dyDescent="0.2"/>
    <row r="93" customFormat="1" ht="12.75" customHeight="1" x14ac:dyDescent="0.2"/>
    <row r="94" customFormat="1" ht="12.75" customHeight="1" x14ac:dyDescent="0.2"/>
    <row r="95" customFormat="1" ht="12.75" customHeight="1" x14ac:dyDescent="0.2"/>
    <row r="96" customFormat="1" ht="12.75" customHeight="1" x14ac:dyDescent="0.2"/>
    <row r="97" customFormat="1" ht="12.75" customHeight="1" x14ac:dyDescent="0.2"/>
    <row r="98" customFormat="1" ht="12.75" customHeight="1" x14ac:dyDescent="0.2"/>
    <row r="99" customFormat="1" ht="12.75" customHeight="1" x14ac:dyDescent="0.2"/>
    <row r="100" customFormat="1" ht="12.75" customHeight="1" x14ac:dyDescent="0.2"/>
    <row r="101" customFormat="1" ht="12.75" customHeight="1" x14ac:dyDescent="0.2"/>
    <row r="102" customFormat="1" ht="12.75" customHeight="1" x14ac:dyDescent="0.2"/>
    <row r="103" customFormat="1" ht="12.75" customHeight="1" x14ac:dyDescent="0.2"/>
    <row r="104" customFormat="1" ht="12.75" customHeight="1" x14ac:dyDescent="0.2"/>
    <row r="105" customFormat="1" ht="12.75" customHeight="1" x14ac:dyDescent="0.2"/>
    <row r="106" customFormat="1" ht="12.75" customHeight="1" x14ac:dyDescent="0.2"/>
    <row r="107" customFormat="1" ht="12.75" customHeight="1" x14ac:dyDescent="0.2"/>
    <row r="108" customFormat="1" ht="12.75" customHeight="1" x14ac:dyDescent="0.2"/>
    <row r="109" customFormat="1" ht="12.75" customHeight="1" x14ac:dyDescent="0.2"/>
    <row r="110" customFormat="1" ht="12.75" customHeight="1" x14ac:dyDescent="0.2"/>
    <row r="111" customFormat="1" ht="12.75" customHeight="1" x14ac:dyDescent="0.2"/>
    <row r="112" customFormat="1" ht="12.75" customHeight="1" x14ac:dyDescent="0.2"/>
    <row r="113" customFormat="1" ht="12.75" customHeight="1" x14ac:dyDescent="0.2"/>
    <row r="114" customFormat="1" ht="12.75" customHeight="1" x14ac:dyDescent="0.2"/>
    <row r="115" customFormat="1" ht="12.75" customHeight="1" x14ac:dyDescent="0.2"/>
    <row r="116" customFormat="1" ht="12.75" customHeight="1" x14ac:dyDescent="0.2"/>
    <row r="117" customFormat="1" ht="12.75" customHeight="1" x14ac:dyDescent="0.2"/>
    <row r="118" customFormat="1" ht="12.75" customHeight="1" x14ac:dyDescent="0.2"/>
    <row r="119" customFormat="1" ht="12.75" customHeight="1" x14ac:dyDescent="0.2"/>
    <row r="120" customFormat="1" ht="12.75" customHeight="1" x14ac:dyDescent="0.2"/>
    <row r="121" customFormat="1" ht="12.75" customHeight="1" x14ac:dyDescent="0.2"/>
    <row r="122" customFormat="1" ht="12.75" customHeight="1" x14ac:dyDescent="0.2"/>
    <row r="123" customFormat="1" ht="12.75" customHeight="1" x14ac:dyDescent="0.2"/>
    <row r="124" customFormat="1" ht="12.75" customHeight="1" x14ac:dyDescent="0.2"/>
    <row r="125" customFormat="1" ht="12.75" customHeight="1" x14ac:dyDescent="0.2"/>
    <row r="126" customFormat="1" ht="12.75" customHeight="1" x14ac:dyDescent="0.2"/>
    <row r="127" customFormat="1" ht="12.75" customHeight="1" x14ac:dyDescent="0.2"/>
    <row r="128" customFormat="1" ht="12.75" customHeight="1" x14ac:dyDescent="0.2"/>
    <row r="129" customFormat="1" ht="12.75" customHeight="1" x14ac:dyDescent="0.2"/>
    <row r="130" customFormat="1" ht="12.75" customHeight="1" x14ac:dyDescent="0.2"/>
    <row r="131" customFormat="1" ht="12.75" customHeight="1" x14ac:dyDescent="0.2"/>
    <row r="132" customFormat="1" ht="12.75" customHeight="1" x14ac:dyDescent="0.2"/>
    <row r="133" customFormat="1" ht="12.75" customHeight="1" x14ac:dyDescent="0.2"/>
    <row r="134" customFormat="1" ht="12.75" customHeight="1" x14ac:dyDescent="0.2"/>
    <row r="135" customFormat="1" ht="12.75" customHeight="1" x14ac:dyDescent="0.2"/>
    <row r="136" customFormat="1" ht="12.75" customHeight="1" x14ac:dyDescent="0.2"/>
    <row r="137" customFormat="1" ht="12.75" customHeight="1" x14ac:dyDescent="0.2"/>
    <row r="138" customFormat="1" ht="12.75" customHeight="1" x14ac:dyDescent="0.2"/>
    <row r="139" customFormat="1" ht="12.75" customHeight="1" x14ac:dyDescent="0.2"/>
    <row r="140" customFormat="1" ht="12.75" customHeight="1" x14ac:dyDescent="0.2"/>
    <row r="141" customFormat="1" ht="12.75" customHeight="1" x14ac:dyDescent="0.2"/>
    <row r="142" customFormat="1" ht="12.75" customHeight="1" x14ac:dyDescent="0.2"/>
    <row r="143" customFormat="1" ht="12.75" customHeight="1" x14ac:dyDescent="0.2"/>
    <row r="144" customFormat="1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Height="9" orientation="landscape"/>
  <headerFooter alignWithMargins="0">
    <oddHeader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zoomScaleNormal="100" zoomScaleSheetLayoutView="100" workbookViewId="0">
      <selection sqref="A1:H1"/>
    </sheetView>
  </sheetViews>
  <sheetFormatPr defaultColWidth="9.140625" defaultRowHeight="12.75" customHeight="1" x14ac:dyDescent="0.2"/>
  <cols>
    <col min="1" max="1" width="9.85546875" customWidth="1"/>
    <col min="2" max="2" width="12.5703125" customWidth="1"/>
    <col min="3" max="3" width="11.85546875" customWidth="1"/>
    <col min="4" max="4" width="19.42578125" customWidth="1"/>
    <col min="5" max="5" width="10.42578125" customWidth="1"/>
    <col min="6" max="6" width="10" customWidth="1"/>
    <col min="7" max="7" width="10.140625" customWidth="1"/>
    <col min="8" max="8" width="9.42578125" customWidth="1"/>
  </cols>
  <sheetData>
    <row r="1" spans="1:8" ht="21" x14ac:dyDescent="0.2">
      <c r="A1" s="233" t="s">
        <v>56</v>
      </c>
      <c r="B1" s="234"/>
      <c r="C1" s="234"/>
      <c r="D1" s="234"/>
      <c r="E1" s="234"/>
      <c r="F1" s="234"/>
      <c r="G1" s="234"/>
      <c r="H1" s="235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23" ht="12.6" customHeight="1" x14ac:dyDescent="0.2"/>
    <row r="24" ht="12.6" customHeight="1" x14ac:dyDescent="0.2"/>
    <row r="25" ht="12.6" customHeight="1" x14ac:dyDescent="0.2"/>
    <row r="27" ht="16.899999999999999" customHeight="1" x14ac:dyDescent="0.2"/>
    <row r="28" ht="12.6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Width="0"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Overview</vt:lpstr>
      <vt:lpstr>Integration</vt:lpstr>
      <vt:lpstr>copy</vt:lpstr>
      <vt:lpstr>Sheet2</vt:lpstr>
      <vt:lpstr>Calibration</vt:lpstr>
      <vt:lpstr>Peak Analysis</vt:lpstr>
      <vt:lpstr>SST</vt:lpstr>
      <vt:lpstr>Summary</vt:lpstr>
      <vt:lpstr>Injection Audit Trail</vt:lpstr>
      <vt:lpstr>Chromatogram</vt:lpstr>
      <vt:lpstr>Calibration!Print_Area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Michael</dc:creator>
  <cp:lastModifiedBy>Ruth Williamson</cp:lastModifiedBy>
  <dcterms:created xsi:type="dcterms:W3CDTF">2020-07-23T19:30:44Z</dcterms:created>
  <dcterms:modified xsi:type="dcterms:W3CDTF">2026-10-01T18:59:46Z</dcterms:modified>
</cp:coreProperties>
</file>